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xr:revisionPtr revIDLastSave="0" documentId="8_{93682E56-C660-417C-B53E-8FAC377B84AC}" xr6:coauthVersionLast="47" xr6:coauthVersionMax="47" xr10:uidLastSave="{00000000-0000-0000-0000-000000000000}"/>
  <bookViews>
    <workbookView xWindow="17880" yWindow="-120" windowWidth="29040" windowHeight="15720" xr2:uid="{00000000-000D-0000-FFFF-FFFF00000000}"/>
  </bookViews>
  <sheets>
    <sheet name="판넬별 차단기 선정표" sheetId="1" r:id="rId1"/>
    <sheet name="파나소닉A6규격" sheetId="2" r:id="rId2"/>
    <sheet name="파스텍EziServo규격" sheetId="3" r:id="rId3"/>
    <sheet name="차단기 규격 참조표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0" i="1" l="1"/>
  <c r="J120" i="1" s="1"/>
  <c r="E119" i="1"/>
  <c r="J119" i="1" s="1"/>
  <c r="E118" i="1"/>
  <c r="J118" i="1" s="1"/>
  <c r="E117" i="1"/>
  <c r="J117" i="1" s="1"/>
  <c r="E116" i="1"/>
  <c r="J116" i="1" s="1"/>
  <c r="E115" i="1"/>
  <c r="J115" i="1" s="1"/>
  <c r="E91" i="1"/>
  <c r="J91" i="1" s="1"/>
  <c r="E90" i="1"/>
  <c r="J90" i="1" s="1"/>
  <c r="E89" i="1"/>
  <c r="J89" i="1" s="1"/>
  <c r="E88" i="1"/>
  <c r="J88" i="1" s="1"/>
  <c r="E87" i="1"/>
  <c r="J87" i="1" s="1"/>
  <c r="E86" i="1"/>
  <c r="J86" i="1" s="1"/>
  <c r="E37" i="1"/>
  <c r="J37" i="1" s="1"/>
  <c r="E36" i="1"/>
  <c r="J36" i="1" s="1"/>
  <c r="B6" i="1"/>
  <c r="C6" i="1" s="1"/>
  <c r="B7" i="1"/>
  <c r="C7" i="1" s="1"/>
  <c r="B8" i="1"/>
  <c r="C8" i="1" s="1"/>
  <c r="J148" i="1" l="1"/>
  <c r="E148" i="1"/>
  <c r="J138" i="1"/>
  <c r="E138" i="1"/>
  <c r="E112" i="1"/>
  <c r="J112" i="1" s="1"/>
  <c r="E111" i="1"/>
  <c r="J111" i="1" s="1"/>
  <c r="E110" i="1"/>
  <c r="J110" i="1" s="1"/>
  <c r="E109" i="1"/>
  <c r="J109" i="1" s="1"/>
  <c r="E108" i="1"/>
  <c r="E107" i="1"/>
  <c r="J107" i="1" s="1"/>
  <c r="E106" i="1"/>
  <c r="J106" i="1" s="1"/>
  <c r="E105" i="1"/>
  <c r="J105" i="1" s="1"/>
  <c r="E104" i="1"/>
  <c r="E103" i="1"/>
  <c r="J103" i="1" s="1"/>
  <c r="E102" i="1"/>
  <c r="J102" i="1" s="1"/>
  <c r="E101" i="1"/>
  <c r="J101" i="1" s="1"/>
  <c r="E100" i="1"/>
  <c r="J100" i="1" s="1"/>
  <c r="E99" i="1"/>
  <c r="J99" i="1" s="1"/>
  <c r="E98" i="1"/>
  <c r="J98" i="1" s="1"/>
  <c r="E97" i="1"/>
  <c r="J97" i="1" s="1"/>
  <c r="E96" i="1"/>
  <c r="J96" i="1" s="1"/>
  <c r="E80" i="1"/>
  <c r="J80" i="1" s="1"/>
  <c r="E79" i="1"/>
  <c r="J79" i="1" s="1"/>
  <c r="E78" i="1"/>
  <c r="J78" i="1" s="1"/>
  <c r="E77" i="1"/>
  <c r="J77" i="1" s="1"/>
  <c r="E76" i="1"/>
  <c r="J76" i="1" s="1"/>
  <c r="E75" i="1"/>
  <c r="J75" i="1" s="1"/>
  <c r="E74" i="1"/>
  <c r="J74" i="1" s="1"/>
  <c r="E73" i="1"/>
  <c r="J73" i="1" s="1"/>
  <c r="E72" i="1"/>
  <c r="J72" i="1" s="1"/>
  <c r="E71" i="1"/>
  <c r="J71" i="1" s="1"/>
  <c r="E70" i="1"/>
  <c r="J70" i="1" s="1"/>
  <c r="E69" i="1"/>
  <c r="J69" i="1" s="1"/>
  <c r="E68" i="1"/>
  <c r="J68" i="1" s="1"/>
  <c r="E67" i="1"/>
  <c r="J67" i="1" s="1"/>
  <c r="E66" i="1"/>
  <c r="J66" i="1" s="1"/>
  <c r="E65" i="1"/>
  <c r="J65" i="1" s="1"/>
  <c r="E64" i="1"/>
  <c r="J64" i="1" s="1"/>
  <c r="E63" i="1"/>
  <c r="J63" i="1" s="1"/>
  <c r="E62" i="1"/>
  <c r="J62" i="1" s="1"/>
  <c r="E61" i="1"/>
  <c r="J61" i="1" s="1"/>
  <c r="E60" i="1"/>
  <c r="E54" i="1"/>
  <c r="J54" i="1" s="1"/>
  <c r="E53" i="1"/>
  <c r="J53" i="1" s="1"/>
  <c r="E52" i="1"/>
  <c r="J52" i="1" s="1"/>
  <c r="E51" i="1"/>
  <c r="J51" i="1" s="1"/>
  <c r="E50" i="1"/>
  <c r="J50" i="1" s="1"/>
  <c r="E49" i="1"/>
  <c r="J49" i="1" s="1"/>
  <c r="E48" i="1"/>
  <c r="J48" i="1" s="1"/>
  <c r="E47" i="1"/>
  <c r="J47" i="1" s="1"/>
  <c r="E46" i="1"/>
  <c r="J46" i="1" s="1"/>
  <c r="E45" i="1"/>
  <c r="J45" i="1" s="1"/>
  <c r="E44" i="1"/>
  <c r="J44" i="1" s="1"/>
  <c r="E43" i="1"/>
  <c r="J43" i="1" s="1"/>
  <c r="E42" i="1"/>
  <c r="J42" i="1" s="1"/>
  <c r="E31" i="1"/>
  <c r="J31" i="1" s="1"/>
  <c r="E30" i="1"/>
  <c r="J30" i="1" s="1"/>
  <c r="E29" i="1"/>
  <c r="J29" i="1" s="1"/>
  <c r="E28" i="1"/>
  <c r="J28" i="1" s="1"/>
  <c r="E27" i="1"/>
  <c r="J27" i="1" s="1"/>
  <c r="E26" i="1"/>
  <c r="J26" i="1" s="1"/>
  <c r="E25" i="1"/>
  <c r="E24" i="1"/>
  <c r="J24" i="1" s="1"/>
  <c r="E23" i="1"/>
  <c r="J23" i="1" s="1"/>
  <c r="E22" i="1"/>
  <c r="J22" i="1" s="1"/>
  <c r="E21" i="1"/>
  <c r="J21" i="1" s="1"/>
  <c r="E20" i="1"/>
  <c r="J20" i="1" s="1"/>
  <c r="E19" i="1"/>
  <c r="J19" i="1" s="1"/>
  <c r="J25" i="1" l="1"/>
  <c r="J32" i="1" s="1"/>
  <c r="Q32" i="1" s="1"/>
  <c r="J104" i="1"/>
  <c r="J108" i="1"/>
  <c r="B5" i="1"/>
  <c r="C5" i="1" s="1"/>
  <c r="E81" i="1"/>
  <c r="J55" i="1"/>
  <c r="Q55" i="1" s="1"/>
  <c r="E32" i="1"/>
  <c r="J60" i="1"/>
  <c r="J81" i="1" s="1"/>
  <c r="Q81" i="1" s="1"/>
  <c r="E55" i="1"/>
  <c r="E113" i="1"/>
  <c r="E121" i="1" s="1"/>
  <c r="J113" i="1" l="1"/>
  <c r="Q113" i="1" s="1"/>
  <c r="J121" i="1"/>
  <c r="Q121" i="1" s="1"/>
  <c r="E151" i="1"/>
  <c r="J151" i="1"/>
  <c r="Q151" i="1" s="1"/>
</calcChain>
</file>

<file path=xl/sharedStrings.xml><?xml version="1.0" encoding="utf-8"?>
<sst xmlns="http://schemas.openxmlformats.org/spreadsheetml/2006/main" count="811" uniqueCount="350">
  <si>
    <t>대구텍 검사기 F2 #1 — 판넬별 전류·용량 계산 및 차단기 선정표</t>
  </si>
  <si>
    <t>전원:</t>
  </si>
  <si>
    <t>AC 220V / 3상</t>
  </si>
  <si>
    <t>역률(PF):</t>
  </si>
  <si>
    <t>안전계수:</t>
  </si>
  <si>
    <t>수용률:</t>
  </si>
  <si>
    <t>작성일:</t>
  </si>
  <si>
    <t>2026-04-03</t>
  </si>
  <si>
    <t>판넬</t>
  </si>
  <si>
    <t>축/유닛명</t>
  </si>
  <si>
    <t>드라이버/장치 모델</t>
  </si>
  <si>
    <t>출력
(W)</t>
  </si>
  <si>
    <t>정격전류
(A)</t>
  </si>
  <si>
    <t>상수</t>
  </si>
  <si>
    <t>R상
할당</t>
  </si>
  <si>
    <t>S상
할당</t>
  </si>
  <si>
    <t>T상
할당</t>
  </si>
  <si>
    <t>설계전류
(A)</t>
  </si>
  <si>
    <t>전원 구분</t>
  </si>
  <si>
    <t>권장
차단기(A)</t>
  </si>
  <si>
    <t>제조사/모델</t>
  </si>
  <si>
    <t>비고</t>
  </si>
  <si>
    <t>AC 3상
220V</t>
  </si>
  <si>
    <t>AC 단상
220V</t>
  </si>
  <si>
    <t>DC 24V</t>
  </si>
  <si>
    <t>기타</t>
  </si>
  <si>
    <t>■ 판넬 1 — AC 3상 서보드라이버 (파나소닉 A6)</t>
  </si>
  <si>
    <t>판넬1</t>
  </si>
  <si>
    <t>LO_Y1</t>
  </si>
  <si>
    <t>MDDLN55BL</t>
  </si>
  <si>
    <t>●</t>
  </si>
  <si>
    <t>LO_X1</t>
  </si>
  <si>
    <t>MCDLN35BL</t>
  </si>
  <si>
    <t>LO_Z1</t>
  </si>
  <si>
    <t>MADLN05BE</t>
  </si>
  <si>
    <t>ULO_Y1</t>
  </si>
  <si>
    <t>ULO_X1</t>
  </si>
  <si>
    <t>ULO_Z1</t>
  </si>
  <si>
    <t>NG_EV</t>
  </si>
  <si>
    <t>MCDLN35BE</t>
  </si>
  <si>
    <t>NG_FD</t>
  </si>
  <si>
    <t>NG_FD_Z</t>
  </si>
  <si>
    <t>MBDLN25BE</t>
  </si>
  <si>
    <t>NG_FD_ALIGN</t>
  </si>
  <si>
    <t>NG_FD_INDEX</t>
  </si>
  <si>
    <t>JIG_ULO_Y</t>
  </si>
  <si>
    <t>JIG_ULO_Z</t>
  </si>
  <si>
    <t>LS ABN20c</t>
  </si>
  <si>
    <t>■ 판넬 2 — AC 3상 서보드라이버 (파나소닉 A6)</t>
  </si>
  <si>
    <t>판넬2</t>
  </si>
  <si>
    <t>GOOD_EV</t>
  </si>
  <si>
    <t>GOOD_FD</t>
  </si>
  <si>
    <t>GOOD_FD_Z</t>
  </si>
  <si>
    <t>GOOD_FD_ALIGN</t>
  </si>
  <si>
    <t>GOOD_FD_INDEX</t>
  </si>
  <si>
    <t>TURN_Y</t>
  </si>
  <si>
    <t>TURN_GRIPPER_Y1</t>
  </si>
  <si>
    <t>MADLN15BE</t>
  </si>
  <si>
    <t>TURN_GRIPPER_X1</t>
  </si>
  <si>
    <t>TURN_GRIPPER_Z1</t>
  </si>
  <si>
    <t>TURN_GRIPPER_Y2</t>
  </si>
  <si>
    <t>TURN_GRIPPER_X2</t>
  </si>
  <si>
    <t>TURN_GRIPPER_Z2</t>
  </si>
  <si>
    <t>BOT_MAC_Y</t>
  </si>
  <si>
    <t xml:space="preserve">  ▶ 판넬 2 합계</t>
  </si>
  <si>
    <t>LS ABN15c</t>
  </si>
  <si>
    <t>■ 판넬 3 — AC 3상 서보드라이버 (파나소닉 A6)</t>
  </si>
  <si>
    <t>판넬3</t>
  </si>
  <si>
    <t>BOT_MAC_X</t>
  </si>
  <si>
    <t>BOT_MAC_Z</t>
  </si>
  <si>
    <t>BOT_MIC_Y</t>
  </si>
  <si>
    <t>BOT_MIC_X</t>
  </si>
  <si>
    <t>BOT_MIC_Z</t>
  </si>
  <si>
    <t>LO_ATC_X</t>
  </si>
  <si>
    <t>LO_ATC_Z</t>
  </si>
  <si>
    <t>SIDE_X1</t>
  </si>
  <si>
    <t>SIDE_Y1</t>
  </si>
  <si>
    <t>SIDE_T1</t>
  </si>
  <si>
    <t>SIDE_X2</t>
  </si>
  <si>
    <t>SIDE_Y2</t>
  </si>
  <si>
    <t>SIDE_T2</t>
  </si>
  <si>
    <t>SIDE_X3</t>
  </si>
  <si>
    <t>SIDE_Y3</t>
  </si>
  <si>
    <t>SIDE_T3</t>
  </si>
  <si>
    <t>LO_EV</t>
  </si>
  <si>
    <t>LO_FD</t>
  </si>
  <si>
    <t>LO_FD_Z</t>
  </si>
  <si>
    <t>LO_FD_ALIGN</t>
  </si>
  <si>
    <t>LO_FD_INDEX</t>
  </si>
  <si>
    <t xml:space="preserve">  ▶ 판넬 3 합계</t>
  </si>
  <si>
    <t>■ 판넬 4 — AC 3상 서보드라이버 (파나소닉 A6)</t>
  </si>
  <si>
    <t>판넬4</t>
  </si>
  <si>
    <t>TOP_MAC_Y</t>
  </si>
  <si>
    <t>TOP_MAC_X</t>
  </si>
  <si>
    <t>TOP_MAC_Z</t>
  </si>
  <si>
    <t>TOP_MIC_Y</t>
  </si>
  <si>
    <t>TOP_MIC_X</t>
  </si>
  <si>
    <t>TOP_MIC_Z</t>
  </si>
  <si>
    <t>INSPEC_CONV1</t>
  </si>
  <si>
    <t>INSPEC_CONV2</t>
  </si>
  <si>
    <t>JIG_PLATE_CONV1</t>
  </si>
  <si>
    <t>JIG_PLATE_CONV2</t>
  </si>
  <si>
    <t>LO_JIG_TRANS_Y</t>
  </si>
  <si>
    <t>LO_JIG_TRANS_Z</t>
  </si>
  <si>
    <t>TURN_PLATE</t>
  </si>
  <si>
    <t>INSEPC_Y</t>
  </si>
  <si>
    <t>INSPEC_X</t>
  </si>
  <si>
    <t>INSPEC_Z1</t>
  </si>
  <si>
    <t>INSPEC_Z2</t>
  </si>
  <si>
    <t>■ DC 24V 부하 — EZS2 스텝서보 · 서보I/O · Brake · 센서 · 솔레노이드 · EZI-SPEED</t>
  </si>
  <si>
    <t>EZS2-EC-42M</t>
  </si>
  <si>
    <t>EZS2-EC-42XL</t>
  </si>
  <si>
    <t>공통-1P</t>
  </si>
  <si>
    <t>서보I/O (A6B)</t>
  </si>
  <si>
    <t>A6B I/O</t>
  </si>
  <si>
    <t>64축×10mA=640mA</t>
  </si>
  <si>
    <t>서보Brake</t>
  </si>
  <si>
    <t>Brake</t>
  </si>
  <si>
    <t>18개×500mA=9000mA</t>
  </si>
  <si>
    <t>리밋센서</t>
  </si>
  <si>
    <t>64개×10mA=640mA</t>
  </si>
  <si>
    <t>호밍센서</t>
  </si>
  <si>
    <t>6개×10mA=60mA</t>
  </si>
  <si>
    <t>공통-2P</t>
  </si>
  <si>
    <t>도어</t>
  </si>
  <si>
    <t>도어스위치</t>
  </si>
  <si>
    <t>10개×300mA=3000mA</t>
  </si>
  <si>
    <t>I/O 모듈</t>
  </si>
  <si>
    <t>파스텍 IO단자대</t>
  </si>
  <si>
    <t>18개×130mA=2340mA</t>
  </si>
  <si>
    <t>입력부하(센서)</t>
  </si>
  <si>
    <t>포토/근접센서</t>
  </si>
  <si>
    <t>250개×10mA=2500mA</t>
  </si>
  <si>
    <t>출력부하</t>
  </si>
  <si>
    <t>릴레이·솔레노이드</t>
  </si>
  <si>
    <t>180개×30mA=5400mA</t>
  </si>
  <si>
    <t>공통-3P</t>
  </si>
  <si>
    <t>LO_EV_TOP</t>
  </si>
  <si>
    <t>EZI-SPEED60H30CR100P</t>
  </si>
  <si>
    <t>LO이젝터 상부</t>
  </si>
  <si>
    <t>LO_EV_BOT</t>
  </si>
  <si>
    <t>LO이젝터 하부</t>
  </si>
  <si>
    <t>GOOD_EV_TOP</t>
  </si>
  <si>
    <t>GOOD이젝터 상부</t>
  </si>
  <si>
    <t>GOOD_EV_BOT</t>
  </si>
  <si>
    <t>GOOD이젝터 하부</t>
  </si>
  <si>
    <t>NG_EV_TOP</t>
  </si>
  <si>
    <t>NG이젝터 상부</t>
  </si>
  <si>
    <t>NG_EV_BOT</t>
  </si>
  <si>
    <t>NG이젝터 하부</t>
  </si>
  <si>
    <t xml:space="preserve">  ▶ DC 24V 부하 소계</t>
  </si>
  <si>
    <t>DC 전원장치: EZS2(9.6A)+1P(10.34A)+2P(13.24A)+3P(6.0A) → SMPS 각각 선정</t>
  </si>
  <si>
    <t>■ 기타 부하 — UPS · 조명CTRL · SMPS (AC 단상 220V)</t>
  </si>
  <si>
    <t>공통</t>
  </si>
  <si>
    <t>UPS 950VA</t>
  </si>
  <si>
    <t>BX950MI-GR</t>
  </si>
  <si>
    <t>AC단상 220V — 1대</t>
  </si>
  <si>
    <t>UPS 1600VA</t>
  </si>
  <si>
    <t>BX1600MI-GR</t>
  </si>
  <si>
    <t>AC단상 220V — 3대 (각각 별도 차단기)</t>
  </si>
  <si>
    <t>조명CTRL</t>
  </si>
  <si>
    <t>POD-22024-4-PEI-LKCB</t>
  </si>
  <si>
    <t>10개×500mA=5.0A → 10A MCB</t>
  </si>
  <si>
    <t>SMPS 24V 20A</t>
  </si>
  <si>
    <t>PRO ECO 480W 24V 20A</t>
  </si>
  <si>
    <t>2대×2.4A</t>
  </si>
  <si>
    <t>SMPS 24V 10A</t>
  </si>
  <si>
    <t>PRO ECO 480W 24V 10A</t>
  </si>
  <si>
    <t>1대×1.2A</t>
  </si>
  <si>
    <t>HMI/PC</t>
  </si>
  <si>
    <t>(직접 입력)</t>
  </si>
  <si>
    <t>← 실측값 입력</t>
  </si>
  <si>
    <t xml:space="preserve">  ▶ 기타 부하 소계</t>
  </si>
  <si>
    <t>단상 부하 — UPS는 대당 별도 차단기, 조명CTRL 10A MCB 권장</t>
  </si>
  <si>
    <t>■ 전체 합계 — AC 3상 220V (판넬1+2+3+4 합산)</t>
  </si>
  <si>
    <t xml:space="preserve">  ▶ AC 3상 전체 합계 (설계전류 기준)</t>
  </si>
  <si>
    <t>→ 메인 차단기</t>
  </si>
  <si>
    <t>LS ABN75c</t>
  </si>
  <si>
    <t>파나소닉 A6 서보드라이버 정격입력전류 (카탈로그 기준, 3상 AC200V)</t>
  </si>
  <si>
    <t>드라이버 모델</t>
  </si>
  <si>
    <t>정격출력 (W)</t>
  </si>
  <si>
    <t>정격입력전류 (A)</t>
  </si>
  <si>
    <t>50W 서보드라이버</t>
  </si>
  <si>
    <t>MADLN10BE</t>
  </si>
  <si>
    <t>100W 서보드라이버</t>
  </si>
  <si>
    <t>200W 서보드라이버</t>
  </si>
  <si>
    <t>400W 서보드라이버</t>
  </si>
  <si>
    <t>750W 서보드라이버 (BL)</t>
  </si>
  <si>
    <t>750W 서보드라이버 (BE)</t>
  </si>
  <si>
    <t>1kW 서보드라이버 (BL)</t>
  </si>
  <si>
    <t>MDDLN55BE</t>
  </si>
  <si>
    <t>1kW 서보드라이버 (BE)</t>
  </si>
  <si>
    <t>MDDLN85BL</t>
  </si>
  <si>
    <t>1.5kW 서보드라이버 (BL)</t>
  </si>
  <si>
    <t>※ A열 모델명과 메인시트 C열 코드 정확히 일치 필요  |  카탈로그 정격입력전류 기준  |  모델 추가 시 이 시트에 행 추가</t>
  </si>
  <si>
    <t>파스텍 EZS2/EziServo 정격전류 (VLOOKUP 소스)</t>
  </si>
  <si>
    <t>정격전류 (A)</t>
  </si>
  <si>
    <t>DC 24V 입력 스텝서보</t>
  </si>
  <si>
    <t>DC 24V 입력 스텝서보 (XL)</t>
  </si>
  <si>
    <t>Ezi-EC-42M-A</t>
  </si>
  <si>
    <t>AC 입력 스텝서보</t>
  </si>
  <si>
    <t>Ezi-EC-42XL-A</t>
  </si>
  <si>
    <t>AC 입력 스텝서보 (XL)</t>
  </si>
  <si>
    <t>DC 24V 입력 스텝모터드라이버</t>
  </si>
  <si>
    <t>차단기 규격 참조표 (MCCB / MCB 3P, AC 220V)</t>
  </si>
  <si>
    <t>적용 부하전류 범위 (A)</t>
  </si>
  <si>
    <t>제조사</t>
  </si>
  <si>
    <t>모델 (3P)</t>
  </si>
  <si>
    <t>~2.4A</t>
  </si>
  <si>
    <t>LS/Chint</t>
  </si>
  <si>
    <t>ABN3c / NXB-63</t>
  </si>
  <si>
    <t>조명, 소형 제어회로</t>
  </si>
  <si>
    <t>2.4~4A</t>
  </si>
  <si>
    <t>ABN5c / NXB-63</t>
  </si>
  <si>
    <t>소형 I/O, 팬</t>
  </si>
  <si>
    <t>4~8A</t>
  </si>
  <si>
    <t>ABN10c / NXB-63</t>
  </si>
  <si>
    <t>소형 서보 1~2축</t>
  </si>
  <si>
    <t>8~12A</t>
  </si>
  <si>
    <t>ABN15c / NXB-63</t>
  </si>
  <si>
    <t>판넬2 권장</t>
  </si>
  <si>
    <t>12~16A</t>
  </si>
  <si>
    <t>ABN20c / NXB-63</t>
  </si>
  <si>
    <t>판넬1/3/4 권장</t>
  </si>
  <si>
    <t>16~20A</t>
  </si>
  <si>
    <t>ABN25c / NXB-63</t>
  </si>
  <si>
    <t>20~24A</t>
  </si>
  <si>
    <t>ABN30c / NXB-63</t>
  </si>
  <si>
    <t>다축 서보 판넬</t>
  </si>
  <si>
    <t>24~32A</t>
  </si>
  <si>
    <t>ABN40c</t>
  </si>
  <si>
    <t>32~40A</t>
  </si>
  <si>
    <t>ABN50c</t>
  </si>
  <si>
    <t>40~50A</t>
  </si>
  <si>
    <t>ABN63c</t>
  </si>
  <si>
    <t>대형 판넬</t>
  </si>
  <si>
    <t>50~60A</t>
  </si>
  <si>
    <t>ABN75c</t>
  </si>
  <si>
    <t>메인 차단기 (판넬 합산)</t>
  </si>
  <si>
    <t>구분</t>
  </si>
  <si>
    <t>총 정격전류 (A)</t>
  </si>
  <si>
    <t>안전계수 ×1.25</t>
  </si>
  <si>
    <t>권장 차단기 (A)</t>
  </si>
  <si>
    <t>총 부하 (kVA)</t>
  </si>
  <si>
    <t>AC 3상 220V 
파나소닉 A6 서보드라이버</t>
    <phoneticPr fontId="16" type="noConversion"/>
  </si>
  <si>
    <t>→ Sheet4 참조</t>
  </si>
  <si>
    <t>→ 하단 계산</t>
  </si>
  <si>
    <t>AC 단상 220V 
파스텍 EziServo/EziSpeed</t>
    <phoneticPr fontId="16" type="noConversion"/>
  </si>
  <si>
    <t>DC 24V 
I/O 모듈·센서·솔레노이드 등</t>
    <phoneticPr fontId="16" type="noConversion"/>
  </si>
  <si>
    <t>기타 부하
HMI·조명·PC 등</t>
    <phoneticPr fontId="16" type="noConversion"/>
  </si>
  <si>
    <t>R상 (A)</t>
  </si>
  <si>
    <t>S상 (A)</t>
  </si>
  <si>
    <t>T상 (A)</t>
  </si>
  <si>
    <t>최대-최소 (A)</t>
  </si>
  <si>
    <t>불균형률 (%)</t>
  </si>
  <si>
    <t>판정</t>
  </si>
  <si>
    <t>기준: 불균형률 
10% 이하 권장</t>
    <phoneticPr fontId="16" type="noConversion"/>
  </si>
  <si>
    <t>AC 3상 서보드라이버</t>
  </si>
  <si>
    <t>AC 3상 기타</t>
  </si>
  <si>
    <t>전체 합계</t>
  </si>
  <si>
    <t>■ 파스텍 EziServo / EziSpeed (AC 단상 or DC 입력) — 대구텍 F2 #1</t>
  </si>
  <si>
    <t>LO_R1_1</t>
  </si>
  <si>
    <t>LO 회전 R1 #1</t>
  </si>
  <si>
    <t>LO_R1_2</t>
  </si>
  <si>
    <t>LO 회전 R1 #2</t>
  </si>
  <si>
    <t xml:space="preserve">  ▶ 판넬 1 AC합계</t>
    <phoneticPr fontId="16" type="noConversion"/>
  </si>
  <si>
    <t>EZI_SPEED_1</t>
  </si>
  <si>
    <t>SIDE 검사 #1</t>
  </si>
  <si>
    <t>EZI_SPEED_2</t>
  </si>
  <si>
    <t>SIDE 검사 #2</t>
  </si>
  <si>
    <t>EZI_SPEED_3</t>
  </si>
  <si>
    <t>SIDE 검사 #3</t>
  </si>
  <si>
    <t>EZI_SPEED_4</t>
  </si>
  <si>
    <t>SIDE 검사 #4</t>
  </si>
  <si>
    <t>EZI_SPEED_5</t>
  </si>
  <si>
    <t>SIDE 검사 #5</t>
  </si>
  <si>
    <t>EZI_SPEED_6</t>
  </si>
  <si>
    <t>SIDE 검사 #6</t>
  </si>
  <si>
    <t>EZI_EC_XL_1</t>
  </si>
  <si>
    <t>EZI_EC_XL_2</t>
  </si>
  <si>
    <t>EZI_EC_XL_3</t>
  </si>
  <si>
    <t>EZI_EC_XL_4</t>
  </si>
  <si>
    <t>EZI_EC_M_1</t>
  </si>
  <si>
    <t>EZI_EC_M_2</t>
  </si>
  <si>
    <t xml:space="preserve">  ▶ 판넬 4 AC합계</t>
    <phoneticPr fontId="16" type="noConversion"/>
  </si>
  <si>
    <t>판넬4</t>
    <phoneticPr fontId="16" type="noConversion"/>
  </si>
  <si>
    <t xml:space="preserve">  ▶ 판넬 DC합계</t>
    <phoneticPr fontId="16" type="noConversion"/>
  </si>
  <si>
    <t>파나소닉 A6 서보드라이버 규격표 (MINAS A6 Series)</t>
  </si>
  <si>
    <t>대응 모터</t>
  </si>
  <si>
    <t>정격출력(W)</t>
  </si>
  <si>
    <t>전원</t>
  </si>
  <si>
    <t>정격입력전류(A)</t>
  </si>
  <si>
    <t>최대입력전류(A)</t>
  </si>
  <si>
    <t>제어방식</t>
  </si>
  <si>
    <t>통신</t>
  </si>
  <si>
    <t>특이사항</t>
  </si>
  <si>
    <t>MSMF/MQMF 50W</t>
  </si>
  <si>
    <t>AC3상 200V</t>
  </si>
  <si>
    <t>フルクロ</t>
  </si>
  <si>
    <t>EtherCAT/Modbus</t>
  </si>
  <si>
    <t>소형 단축용</t>
  </si>
  <si>
    <t>MSMF/MQMF 100W</t>
  </si>
  <si>
    <t>MSMF/MQMF 200W</t>
  </si>
  <si>
    <t>MSMF/MQMF 400W</t>
  </si>
  <si>
    <t>MSMF/MQMF 750W</t>
  </si>
  <si>
    <t>중형 축용</t>
  </si>
  <si>
    <t>Brake 내장형</t>
  </si>
  <si>
    <t>MSMF 1kW</t>
  </si>
  <si>
    <t>대형 주축용</t>
  </si>
  <si>
    <t>MSMF 1.5kW</t>
  </si>
  <si>
    <t>MEDLN15BL</t>
  </si>
  <si>
    <t>MSMF 2kW</t>
  </si>
  <si>
    <t>MFDLN23BL</t>
  </si>
  <si>
    <t>MSMF 3kW</t>
  </si>
  <si>
    <t>고출력</t>
  </si>
  <si>
    <t>※ 정격입력전류: I = P_출력(VA) ÷ (√3 × V_입력 × PF)  |  안전계수 1.25 적용 후 차단기 선정  |  출처: Panasonic MINAS A6 Catalog</t>
  </si>
  <si>
    <t>파스텍(Fastech) 스텝드라이버 규격표</t>
  </si>
  <si>
    <t>입력전원</t>
  </si>
  <si>
    <t>출력전류 max(A)</t>
  </si>
  <si>
    <t>마이크로스텝</t>
  </si>
  <si>
    <t>통신/제어</t>
  </si>
  <si>
    <t>보호기능</t>
  </si>
  <si>
    <t>EM542S</t>
  </si>
  <si>
    <t>DC 20~50V</t>
  </si>
  <si>
    <t>1~256</t>
  </si>
  <si>
    <t>스텝/방향, CW/CCW</t>
  </si>
  <si>
    <t>과열/과전류/위상오류</t>
  </si>
  <si>
    <t>2상 스텝모터</t>
  </si>
  <si>
    <t>소형 범용</t>
  </si>
  <si>
    <t>EM806</t>
  </si>
  <si>
    <t>DC 24~80V</t>
  </si>
  <si>
    <t>과열/과전류</t>
  </si>
  <si>
    <t>고토크 대형</t>
  </si>
  <si>
    <t>EZB2-EC</t>
  </si>
  <si>
    <t>DC 24~48V</t>
  </si>
  <si>
    <t>EtherCAT</t>
  </si>
  <si>
    <t>네트워크 제어</t>
  </si>
  <si>
    <t>EZB2-ML</t>
  </si>
  <si>
    <t>MECHATROLINK-III</t>
  </si>
  <si>
    <t>ML3 네트워크</t>
  </si>
  <si>
    <t>EZS2-EC</t>
  </si>
  <si>
    <t>중형 EtherCAT</t>
  </si>
  <si>
    <t>EziSERVO-EC</t>
  </si>
  <si>
    <t>AC 100~240V</t>
  </si>
  <si>
    <t>-</t>
  </si>
  <si>
    <t>EtherCAT (CiA 402)</t>
  </si>
  <si>
    <t>과열/과전류/위치오류</t>
  </si>
  <si>
    <t>폐루프 스텝</t>
  </si>
  <si>
    <t>폐루프(엔코더 내장)</t>
  </si>
  <si>
    <t>※ 파스텍 DC 드라이버 전원: 별도 SMPS 필요 (DC 전원장치 용량 = 합계전류×1.25 이상)  |  출처: Fastech 제품 카탈로그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</si>
</sst>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1F3864"/>
      <name val="맑은 고딕"/>
      <family val="3"/>
      <charset val="129"/>
    </font>
    <font>
      <sz val="9"/>
      <color rgb="FF375623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8"/>
      <color rgb="FF555555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888888"/>
      <name val="맑은 고딕"/>
      <family val="3"/>
      <charset val="129"/>
    </font>
    <font>
      <sz val="9"/>
      <color rgb="FF833C00"/>
      <name val="맑은 고딕"/>
      <family val="3"/>
      <charset val="129"/>
    </font>
    <font>
      <b/>
      <sz val="12"/>
      <color rgb="FF1F3864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F99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00B0F0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70AD47"/>
      </patternFill>
    </fill>
    <fill>
      <patternFill patternType="solid">
        <fgColor rgb="FFEDF7E3"/>
      </patternFill>
    </fill>
    <fill>
      <patternFill patternType="solid">
        <fgColor rgb="FF7030A0"/>
      </patternFill>
    </fill>
    <fill>
      <patternFill patternType="solid">
        <fgColor rgb="FFF3EBF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EF4E8"/>
      </patternFill>
    </fill>
    <fill>
      <patternFill patternType="solid">
        <fgColor rgb="FFC55A11"/>
      </patternFill>
    </fill>
    <fill>
      <patternFill patternType="solid">
        <fgColor rgb="FFED7D31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8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5" fillId="15" borderId="0" xfId="0" applyFont="1" applyFill="1" applyAlignment="1">
      <alignment horizontal="center" vertical="center" wrapText="1"/>
    </xf>
    <xf numFmtId="0" fontId="13" fillId="17" borderId="0" xfId="0" applyFont="1" applyFill="1" applyAlignment="1">
      <alignment horizontal="left" vertical="center" wrapText="1"/>
    </xf>
    <xf numFmtId="0" fontId="15" fillId="18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76" fontId="17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176" fontId="17" fillId="19" borderId="1" xfId="0" applyNumberFormat="1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176" fontId="17" fillId="12" borderId="1" xfId="0" applyNumberFormat="1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176" fontId="17" fillId="14" borderId="1" xfId="0" applyNumberFormat="1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19" fillId="15" borderId="0" xfId="0" applyFont="1" applyFill="1" applyAlignment="1">
      <alignment horizontal="center" vertical="center" wrapText="1"/>
    </xf>
    <xf numFmtId="0" fontId="19" fillId="18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5796;&#50868;&#47196;&#46300;\WTA_&#51109;&#48708;&#51204;&#51109;&#49444;&#44228;&#50857;&#47049;&#49440;&#51221;(&#49688;&#51221;&#51473;).xlsx" TargetMode="External"/><Relationship Id="rId1" Type="http://schemas.openxmlformats.org/officeDocument/2006/relationships/externalLinkPath" Target="WTA_&#51109;&#48708;&#51204;&#51109;&#49444;&#44228;&#50857;&#47049;&#49440;&#51221;(&#49688;&#51221;&#5147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전류·용량 계산표"/>
      <sheetName val="파나소닉A6규격"/>
      <sheetName val="파스텍EziServo규격"/>
      <sheetName val="차단기 규격 참조표"/>
    </sheetNames>
    <sheetDataSet>
      <sheetData sheetId="0"/>
      <sheetData sheetId="1">
        <row r="1">
          <cell r="A1" t="str">
            <v>파나소닉 A6 서보드라이버 규격표 (MINAS A6 Series)</v>
          </cell>
        </row>
        <row r="2">
          <cell r="A2" t="str">
            <v>드라이버 모델</v>
          </cell>
          <cell r="B2" t="str">
            <v>대응 모터</v>
          </cell>
          <cell r="C2" t="str">
            <v>정격출력(W)</v>
          </cell>
        </row>
        <row r="3">
          <cell r="A3" t="str">
            <v>MADLN05BE</v>
          </cell>
          <cell r="B3" t="str">
            <v>MSMF/MQMF 50W</v>
          </cell>
          <cell r="C3">
            <v>50</v>
          </cell>
        </row>
        <row r="4">
          <cell r="A4" t="str">
            <v>MADLN10BE</v>
          </cell>
          <cell r="B4" t="str">
            <v>MSMF/MQMF 100W</v>
          </cell>
          <cell r="C4">
            <v>100</v>
          </cell>
        </row>
        <row r="5">
          <cell r="A5" t="str">
            <v>MADLN15BE</v>
          </cell>
          <cell r="B5" t="str">
            <v>MSMF/MQMF 200W</v>
          </cell>
          <cell r="C5">
            <v>200</v>
          </cell>
        </row>
        <row r="6">
          <cell r="A6" t="str">
            <v>MBDLN25BE</v>
          </cell>
          <cell r="B6" t="str">
            <v>MSMF/MQMF 400W</v>
          </cell>
          <cell r="C6">
            <v>400</v>
          </cell>
        </row>
        <row r="7">
          <cell r="A7" t="str">
            <v>MCDLN35BL</v>
          </cell>
          <cell r="B7" t="str">
            <v>MSMF/MQMF 750W</v>
          </cell>
          <cell r="C7">
            <v>750</v>
          </cell>
        </row>
        <row r="8">
          <cell r="A8" t="str">
            <v>MCDLN35BE</v>
          </cell>
          <cell r="B8" t="str">
            <v>MSMF/MQMF 750W</v>
          </cell>
          <cell r="C8">
            <v>750</v>
          </cell>
        </row>
        <row r="9">
          <cell r="A9" t="str">
            <v>MDDLN55BL</v>
          </cell>
          <cell r="B9" t="str">
            <v>MSMF 1kW</v>
          </cell>
          <cell r="C9">
            <v>1000</v>
          </cell>
        </row>
        <row r="10">
          <cell r="A10" t="str">
            <v>MDDLN85BL</v>
          </cell>
          <cell r="B10" t="str">
            <v>MSMF 1.5kW</v>
          </cell>
          <cell r="C10">
            <v>1500</v>
          </cell>
        </row>
        <row r="11">
          <cell r="A11" t="str">
            <v>MEDLN15BL</v>
          </cell>
          <cell r="B11" t="str">
            <v>MSMF 2kW</v>
          </cell>
          <cell r="C11">
            <v>2000</v>
          </cell>
        </row>
        <row r="12">
          <cell r="A12" t="str">
            <v>MFDLN23BL</v>
          </cell>
          <cell r="B12" t="str">
            <v>MSMF 3kW</v>
          </cell>
          <cell r="C12">
            <v>3000</v>
          </cell>
        </row>
        <row r="14">
          <cell r="A14" t="str">
            <v>※ 정격입력전류: I = P_출력(VA) ÷ (√3 × V_입력 × PF)  |  안전계수 1.25 적용 후 차단기 선정  |  출처: Panasonic MINAS A6 Catalog</v>
          </cell>
        </row>
      </sheetData>
      <sheetData sheetId="2">
        <row r="1">
          <cell r="A1" t="str">
            <v>파스텍(Fastech) 스텝드라이버 규격표</v>
          </cell>
        </row>
        <row r="2">
          <cell r="A2" t="str">
            <v>드라이버 모델</v>
          </cell>
          <cell r="B2" t="str">
            <v>입력전원</v>
          </cell>
          <cell r="C2" t="str">
            <v>출력전류 max(A)</v>
          </cell>
        </row>
        <row r="3">
          <cell r="A3" t="str">
            <v>EM542S</v>
          </cell>
          <cell r="B3" t="str">
            <v>DC 20~50V</v>
          </cell>
          <cell r="C3">
            <v>4.2</v>
          </cell>
        </row>
        <row r="4">
          <cell r="A4" t="str">
            <v>EM806</v>
          </cell>
          <cell r="B4" t="str">
            <v>DC 24~80V</v>
          </cell>
          <cell r="C4">
            <v>8</v>
          </cell>
        </row>
        <row r="5">
          <cell r="A5" t="str">
            <v>EZB2-EC</v>
          </cell>
          <cell r="B5" t="str">
            <v>DC 24~48V</v>
          </cell>
          <cell r="C5">
            <v>2</v>
          </cell>
        </row>
        <row r="6">
          <cell r="A6" t="str">
            <v>EZB2-ML</v>
          </cell>
          <cell r="B6" t="str">
            <v>DC 24~48V</v>
          </cell>
          <cell r="C6">
            <v>2</v>
          </cell>
        </row>
        <row r="7">
          <cell r="A7" t="str">
            <v>EZS2-EC</v>
          </cell>
          <cell r="B7" t="str">
            <v>DC 24~48V</v>
          </cell>
          <cell r="C7">
            <v>4</v>
          </cell>
        </row>
        <row r="8">
          <cell r="A8" t="str">
            <v>EziSERVO-EC</v>
          </cell>
          <cell r="B8" t="str">
            <v>AC 100~240V</v>
          </cell>
          <cell r="C8">
            <v>3</v>
          </cell>
        </row>
        <row r="10">
          <cell r="A10" t="str">
            <v>※ 파스텍 DC 드라이버 전원: 별도 SMPS 필요 (DC 전원장치 용량 = 합계전류×1.25 이상)  |  출처: Fastech 제품 카탈로그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G37" sqref="G37"/>
    </sheetView>
  </sheetViews>
  <sheetFormatPr defaultRowHeight="16.5" x14ac:dyDescent="0.3"/>
  <cols>
    <col min="1" max="1" width="26.75" customWidth="1"/>
    <col min="2" max="2" width="20" customWidth="1"/>
    <col min="3" max="3" width="24" customWidth="1"/>
    <col min="4" max="4" width="8" customWidth="1"/>
    <col min="5" max="5" width="10" customWidth="1"/>
    <col min="6" max="6" width="6" customWidth="1"/>
    <col min="7" max="7" width="5" customWidth="1"/>
    <col min="8" max="16" width="9" customWidth="1"/>
    <col min="17" max="17" width="32" customWidth="1"/>
  </cols>
  <sheetData>
    <row r="1" spans="1:17" ht="27.95" customHeight="1" x14ac:dyDescent="0.3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5.95" customHeight="1" x14ac:dyDescent="0.3">
      <c r="A2" s="1" t="s">
        <v>1</v>
      </c>
      <c r="B2" s="2" t="s">
        <v>2</v>
      </c>
      <c r="C2" s="1" t="s">
        <v>3</v>
      </c>
      <c r="D2" s="2">
        <v>0.95</v>
      </c>
      <c r="E2" s="1" t="s">
        <v>4</v>
      </c>
      <c r="F2" s="2">
        <v>1.25</v>
      </c>
      <c r="G2" s="1" t="s">
        <v>5</v>
      </c>
      <c r="H2" s="2">
        <v>0.5</v>
      </c>
      <c r="I2" s="1" t="s">
        <v>6</v>
      </c>
      <c r="J2" s="2" t="s">
        <v>7</v>
      </c>
    </row>
    <row r="3" spans="1:17" ht="5.0999999999999996" customHeight="1" x14ac:dyDescent="0.3"/>
    <row r="4" spans="1:17" ht="18" customHeight="1" x14ac:dyDescent="0.3">
      <c r="A4" s="4" t="s">
        <v>239</v>
      </c>
      <c r="B4" s="4" t="s">
        <v>240</v>
      </c>
      <c r="C4" s="4" t="s">
        <v>241</v>
      </c>
      <c r="D4" s="4" t="s">
        <v>242</v>
      </c>
      <c r="E4" s="4" t="s">
        <v>243</v>
      </c>
      <c r="F4" s="4" t="s">
        <v>21</v>
      </c>
    </row>
    <row r="5" spans="1:17" ht="24" customHeight="1" x14ac:dyDescent="0.3">
      <c r="A5" s="50" t="s">
        <v>244</v>
      </c>
      <c r="B5" s="51">
        <f>E108</f>
        <v>0.3</v>
      </c>
      <c r="C5" s="51">
        <f>B5*1.25</f>
        <v>0.375</v>
      </c>
      <c r="D5" s="7" t="s">
        <v>245</v>
      </c>
      <c r="E5" s="52" t="s">
        <v>246</v>
      </c>
      <c r="F5" s="52" t="s">
        <v>246</v>
      </c>
    </row>
    <row r="6" spans="1:17" ht="24" x14ac:dyDescent="0.3">
      <c r="A6" s="53" t="s">
        <v>247</v>
      </c>
      <c r="B6" s="54">
        <f>E125</f>
        <v>9</v>
      </c>
      <c r="C6" s="54">
        <f>B6*1.25</f>
        <v>11.25</v>
      </c>
      <c r="D6" s="30" t="s">
        <v>245</v>
      </c>
      <c r="E6" s="55" t="s">
        <v>246</v>
      </c>
      <c r="F6" s="55" t="s">
        <v>246</v>
      </c>
    </row>
    <row r="7" spans="1:17" ht="24" x14ac:dyDescent="0.3">
      <c r="A7" s="56" t="s">
        <v>248</v>
      </c>
      <c r="B7" s="57">
        <f>E133</f>
        <v>1</v>
      </c>
      <c r="C7" s="57">
        <f>B7*1.25</f>
        <v>1.25</v>
      </c>
      <c r="D7" s="22" t="s">
        <v>245</v>
      </c>
      <c r="E7" s="58" t="s">
        <v>246</v>
      </c>
      <c r="F7" s="58" t="s">
        <v>246</v>
      </c>
    </row>
    <row r="8" spans="1:17" ht="24" x14ac:dyDescent="0.3">
      <c r="A8" s="59" t="s">
        <v>249</v>
      </c>
      <c r="B8" s="60">
        <f>E140</f>
        <v>0</v>
      </c>
      <c r="C8" s="60">
        <f>B8*1.25</f>
        <v>0</v>
      </c>
      <c r="D8" s="26" t="s">
        <v>245</v>
      </c>
      <c r="E8" s="61" t="s">
        <v>246</v>
      </c>
      <c r="F8" s="61" t="s">
        <v>246</v>
      </c>
    </row>
    <row r="10" spans="1:17" ht="20.100000000000001" customHeight="1" x14ac:dyDescent="0.3">
      <c r="A10" s="62"/>
      <c r="B10" s="62" t="s">
        <v>250</v>
      </c>
      <c r="C10" s="62" t="s">
        <v>251</v>
      </c>
      <c r="D10" s="62" t="s">
        <v>252</v>
      </c>
      <c r="E10" s="62" t="s">
        <v>253</v>
      </c>
      <c r="F10" s="62" t="s">
        <v>254</v>
      </c>
      <c r="G10" s="62" t="s">
        <v>255</v>
      </c>
      <c r="H10" s="62" t="s">
        <v>256</v>
      </c>
    </row>
    <row r="11" spans="1:17" ht="24" customHeight="1" x14ac:dyDescent="0.3">
      <c r="A11" s="63" t="s">
        <v>257</v>
      </c>
      <c r="B11" s="64"/>
      <c r="C11" s="64"/>
      <c r="D11" s="64"/>
      <c r="E11" s="64"/>
      <c r="F11" s="64"/>
      <c r="G11" s="64"/>
      <c r="H11" s="64"/>
    </row>
    <row r="12" spans="1:17" ht="18" customHeight="1" x14ac:dyDescent="0.3">
      <c r="A12" s="63" t="s">
        <v>258</v>
      </c>
      <c r="B12" s="64"/>
      <c r="C12" s="64"/>
      <c r="D12" s="64"/>
      <c r="E12" s="64"/>
      <c r="F12" s="64"/>
      <c r="G12" s="64"/>
      <c r="H12" s="64"/>
    </row>
    <row r="13" spans="1:17" ht="17.100000000000001" customHeight="1" x14ac:dyDescent="0.3">
      <c r="A13" s="63" t="s">
        <v>259</v>
      </c>
      <c r="B13" s="64"/>
      <c r="C13" s="64"/>
      <c r="D13" s="64"/>
      <c r="E13" s="64"/>
      <c r="F13" s="64"/>
      <c r="G13" s="64"/>
      <c r="H13" s="64"/>
    </row>
    <row r="14" spans="1:17" ht="17.100000000000001" customHeight="1" x14ac:dyDescent="0.3">
      <c r="A14" s="65"/>
      <c r="B14" s="66"/>
      <c r="C14" s="66"/>
      <c r="D14" s="66"/>
      <c r="E14" s="66"/>
      <c r="F14" s="66"/>
      <c r="G14" s="66"/>
      <c r="H14" s="66"/>
    </row>
    <row r="15" spans="1:17" ht="17.100000000000001" customHeight="1" x14ac:dyDescent="0.3">
      <c r="A15" s="1" t="s">
        <v>1</v>
      </c>
      <c r="B15" s="2" t="s">
        <v>2</v>
      </c>
      <c r="C15" s="1" t="s">
        <v>3</v>
      </c>
      <c r="D15" s="2">
        <v>0.85</v>
      </c>
      <c r="E15" s="1" t="s">
        <v>4</v>
      </c>
      <c r="F15" s="2">
        <v>1.25</v>
      </c>
      <c r="G15" s="1" t="s">
        <v>5</v>
      </c>
      <c r="H15" s="2">
        <v>0.5</v>
      </c>
      <c r="I15" s="1" t="s">
        <v>6</v>
      </c>
      <c r="J15" s="2" t="s">
        <v>7</v>
      </c>
    </row>
    <row r="16" spans="1:17" ht="17.100000000000001" customHeight="1" x14ac:dyDescent="0.3">
      <c r="A16" s="35" t="s">
        <v>8</v>
      </c>
      <c r="B16" s="35" t="s">
        <v>9</v>
      </c>
      <c r="C16" s="35" t="s">
        <v>10</v>
      </c>
      <c r="D16" s="35" t="s">
        <v>11</v>
      </c>
      <c r="E16" s="35" t="s">
        <v>12</v>
      </c>
      <c r="F16" s="35" t="s">
        <v>13</v>
      </c>
      <c r="G16" s="35" t="s">
        <v>14</v>
      </c>
      <c r="H16" s="35" t="s">
        <v>15</v>
      </c>
      <c r="I16" s="35" t="s">
        <v>16</v>
      </c>
      <c r="J16" s="35" t="s">
        <v>17</v>
      </c>
      <c r="K16" s="42" t="s">
        <v>18</v>
      </c>
      <c r="L16" s="36"/>
      <c r="M16" s="36"/>
      <c r="N16" s="36"/>
      <c r="O16" s="35" t="s">
        <v>19</v>
      </c>
      <c r="P16" s="35" t="s">
        <v>20</v>
      </c>
      <c r="Q16" s="43" t="s">
        <v>21</v>
      </c>
    </row>
    <row r="17" spans="1:17" ht="17.100000000000001" customHeight="1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4" t="s">
        <v>22</v>
      </c>
      <c r="L17" s="4" t="s">
        <v>23</v>
      </c>
      <c r="M17" s="4" t="s">
        <v>24</v>
      </c>
      <c r="N17" s="4" t="s">
        <v>25</v>
      </c>
      <c r="O17" s="36"/>
      <c r="P17" s="36"/>
      <c r="Q17" s="36"/>
    </row>
    <row r="18" spans="1:17" ht="17.100000000000001" customHeight="1" x14ac:dyDescent="0.3">
      <c r="A18" s="41" t="s">
        <v>26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7" ht="17.100000000000001" customHeight="1" x14ac:dyDescent="0.3">
      <c r="A19" s="5" t="s">
        <v>27</v>
      </c>
      <c r="B19" s="6" t="s">
        <v>28</v>
      </c>
      <c r="C19" s="6" t="s">
        <v>29</v>
      </c>
      <c r="D19" s="7">
        <v>1000</v>
      </c>
      <c r="E19" s="8">
        <f>IFERROR(VLOOKUP(C19,파나소닉A6규격!$A:$C,3,FALSE),IFERROR(VLOOKUP(C19,파스텍EziServo규격!$A:$C,3,FALSE),""))</f>
        <v>3.4</v>
      </c>
      <c r="F19" s="7">
        <v>1</v>
      </c>
      <c r="G19" s="7">
        <v>1</v>
      </c>
      <c r="H19" s="7">
        <v>1</v>
      </c>
      <c r="I19" s="7">
        <v>1</v>
      </c>
      <c r="J19" s="9">
        <f t="shared" ref="J19:J31" si="0">IF(E19="","",ROUND(E19*0.7,3))</f>
        <v>2.38</v>
      </c>
      <c r="K19" s="7" t="s">
        <v>30</v>
      </c>
      <c r="L19" s="7"/>
      <c r="M19" s="7"/>
      <c r="N19" s="7"/>
      <c r="O19" s="7"/>
      <c r="P19" s="7"/>
      <c r="Q19" s="6"/>
    </row>
    <row r="20" spans="1:17" ht="17.100000000000001" customHeight="1" x14ac:dyDescent="0.3">
      <c r="A20" s="5" t="s">
        <v>27</v>
      </c>
      <c r="B20" s="6" t="s">
        <v>31</v>
      </c>
      <c r="C20" s="6" t="s">
        <v>32</v>
      </c>
      <c r="D20" s="7">
        <v>750</v>
      </c>
      <c r="E20" s="8">
        <f>IFERROR(VLOOKUP(C20,파나소닉A6규격!$A:$C,3,FALSE),IFERROR(VLOOKUP(C20,파스텍EziServo규격!$A:$C,3,FALSE),""))</f>
        <v>2.4</v>
      </c>
      <c r="F20" s="7">
        <v>1</v>
      </c>
      <c r="G20" s="7">
        <v>1</v>
      </c>
      <c r="H20" s="7">
        <v>1</v>
      </c>
      <c r="I20" s="7">
        <v>1</v>
      </c>
      <c r="J20" s="9">
        <f t="shared" si="0"/>
        <v>1.68</v>
      </c>
      <c r="K20" s="7" t="s">
        <v>30</v>
      </c>
      <c r="L20" s="7"/>
      <c r="M20" s="7"/>
      <c r="N20" s="7"/>
      <c r="O20" s="7"/>
      <c r="P20" s="7"/>
      <c r="Q20" s="6"/>
    </row>
    <row r="21" spans="1:17" ht="17.100000000000001" customHeight="1" x14ac:dyDescent="0.3">
      <c r="A21" s="5" t="s">
        <v>27</v>
      </c>
      <c r="B21" s="6" t="s">
        <v>33</v>
      </c>
      <c r="C21" s="6" t="s">
        <v>34</v>
      </c>
      <c r="D21" s="7">
        <v>50</v>
      </c>
      <c r="E21" s="8">
        <f>IFERROR(VLOOKUP(C21,파나소닉A6규격!$A:$C,3,FALSE),IFERROR(VLOOKUP(C21,파스텍EziServo규격!$A:$C,3,FALSE),""))</f>
        <v>0.3</v>
      </c>
      <c r="F21" s="7">
        <v>1</v>
      </c>
      <c r="G21" s="7">
        <v>1</v>
      </c>
      <c r="H21" s="7">
        <v>1</v>
      </c>
      <c r="I21" s="7">
        <v>1</v>
      </c>
      <c r="J21" s="9">
        <f t="shared" si="0"/>
        <v>0.21</v>
      </c>
      <c r="K21" s="7" t="s">
        <v>30</v>
      </c>
      <c r="L21" s="7"/>
      <c r="M21" s="7"/>
      <c r="N21" s="7"/>
      <c r="O21" s="7"/>
      <c r="P21" s="7"/>
      <c r="Q21" s="6"/>
    </row>
    <row r="22" spans="1:17" ht="17.100000000000001" customHeight="1" x14ac:dyDescent="0.3">
      <c r="A22" s="5" t="s">
        <v>27</v>
      </c>
      <c r="B22" s="6" t="s">
        <v>35</v>
      </c>
      <c r="C22" s="6" t="s">
        <v>32</v>
      </c>
      <c r="D22" s="7">
        <v>750</v>
      </c>
      <c r="E22" s="8">
        <f>IFERROR(VLOOKUP(C22,파나소닉A6규격!$A:$C,3,FALSE),IFERROR(VLOOKUP(C22,파스텍EziServo규격!$A:$C,3,FALSE),""))</f>
        <v>2.4</v>
      </c>
      <c r="F22" s="7">
        <v>1</v>
      </c>
      <c r="G22" s="7">
        <v>1</v>
      </c>
      <c r="H22" s="7">
        <v>1</v>
      </c>
      <c r="I22" s="7">
        <v>1</v>
      </c>
      <c r="J22" s="9">
        <f t="shared" si="0"/>
        <v>1.68</v>
      </c>
      <c r="K22" s="7" t="s">
        <v>30</v>
      </c>
      <c r="L22" s="7"/>
      <c r="M22" s="7"/>
      <c r="N22" s="7"/>
      <c r="O22" s="7"/>
      <c r="P22" s="7"/>
      <c r="Q22" s="6"/>
    </row>
    <row r="23" spans="1:17" ht="17.100000000000001" customHeight="1" x14ac:dyDescent="0.3">
      <c r="A23" s="5" t="s">
        <v>27</v>
      </c>
      <c r="B23" s="6" t="s">
        <v>36</v>
      </c>
      <c r="C23" s="6" t="s">
        <v>32</v>
      </c>
      <c r="D23" s="7">
        <v>750</v>
      </c>
      <c r="E23" s="8">
        <f>IFERROR(VLOOKUP(C23,파나소닉A6규격!$A:$C,3,FALSE),IFERROR(VLOOKUP(C23,파스텍EziServo규격!$A:$C,3,FALSE),""))</f>
        <v>2.4</v>
      </c>
      <c r="F23" s="7">
        <v>1</v>
      </c>
      <c r="G23" s="7">
        <v>1</v>
      </c>
      <c r="H23" s="7">
        <v>1</v>
      </c>
      <c r="I23" s="7">
        <v>1</v>
      </c>
      <c r="J23" s="9">
        <f t="shared" si="0"/>
        <v>1.68</v>
      </c>
      <c r="K23" s="7" t="s">
        <v>30</v>
      </c>
      <c r="L23" s="7"/>
      <c r="M23" s="7"/>
      <c r="N23" s="7"/>
      <c r="O23" s="7"/>
      <c r="P23" s="7"/>
      <c r="Q23" s="6"/>
    </row>
    <row r="24" spans="1:17" ht="17.100000000000001" customHeight="1" x14ac:dyDescent="0.3">
      <c r="A24" s="5" t="s">
        <v>27</v>
      </c>
      <c r="B24" s="6" t="s">
        <v>37</v>
      </c>
      <c r="C24" s="6" t="s">
        <v>34</v>
      </c>
      <c r="D24" s="7">
        <v>50</v>
      </c>
      <c r="E24" s="8">
        <f>IFERROR(VLOOKUP(C24,파나소닉A6규격!$A:$C,3,FALSE),IFERROR(VLOOKUP(C24,파스텍EziServo규격!$A:$C,3,FALSE),""))</f>
        <v>0.3</v>
      </c>
      <c r="F24" s="7">
        <v>1</v>
      </c>
      <c r="G24" s="7">
        <v>1</v>
      </c>
      <c r="H24" s="7">
        <v>1</v>
      </c>
      <c r="I24" s="7">
        <v>1</v>
      </c>
      <c r="J24" s="9">
        <f t="shared" si="0"/>
        <v>0.21</v>
      </c>
      <c r="K24" s="7" t="s">
        <v>30</v>
      </c>
      <c r="L24" s="7"/>
      <c r="M24" s="7"/>
      <c r="N24" s="7"/>
      <c r="O24" s="7"/>
      <c r="P24" s="7"/>
      <c r="Q24" s="6"/>
    </row>
    <row r="25" spans="1:17" ht="17.100000000000001" customHeight="1" x14ac:dyDescent="0.3">
      <c r="A25" s="5" t="s">
        <v>27</v>
      </c>
      <c r="B25" s="6" t="s">
        <v>38</v>
      </c>
      <c r="C25" s="6" t="s">
        <v>39</v>
      </c>
      <c r="D25" s="7">
        <v>750</v>
      </c>
      <c r="E25" s="8">
        <f>IFERROR(VLOOKUP(C25,파나소닉A6규격!$A:$C,3,FALSE),IFERROR(VLOOKUP(C25,파스텍EziServo규격!$A:$C,3,FALSE),""))</f>
        <v>2.4</v>
      </c>
      <c r="F25" s="7">
        <v>1</v>
      </c>
      <c r="G25" s="7">
        <v>1</v>
      </c>
      <c r="H25" s="7">
        <v>1</v>
      </c>
      <c r="I25" s="7">
        <v>1</v>
      </c>
      <c r="J25" s="9">
        <f t="shared" si="0"/>
        <v>1.68</v>
      </c>
      <c r="K25" s="7" t="s">
        <v>30</v>
      </c>
      <c r="L25" s="7"/>
      <c r="M25" s="7"/>
      <c r="N25" s="7"/>
      <c r="O25" s="7"/>
      <c r="P25" s="7"/>
      <c r="Q25" s="6"/>
    </row>
    <row r="26" spans="1:17" ht="17.100000000000001" customHeight="1" x14ac:dyDescent="0.3">
      <c r="A26" s="5" t="s">
        <v>27</v>
      </c>
      <c r="B26" s="6" t="s">
        <v>40</v>
      </c>
      <c r="C26" s="6" t="s">
        <v>34</v>
      </c>
      <c r="D26" s="7">
        <v>50</v>
      </c>
      <c r="E26" s="8">
        <f>IFERROR(VLOOKUP(C26,파나소닉A6규격!$A:$C,3,FALSE),IFERROR(VLOOKUP(C26,파스텍EziServo규격!$A:$C,3,FALSE),""))</f>
        <v>0.3</v>
      </c>
      <c r="F26" s="7">
        <v>1</v>
      </c>
      <c r="G26" s="7">
        <v>1</v>
      </c>
      <c r="H26" s="7">
        <v>1</v>
      </c>
      <c r="I26" s="7">
        <v>1</v>
      </c>
      <c r="J26" s="9">
        <f t="shared" si="0"/>
        <v>0.21</v>
      </c>
      <c r="K26" s="7" t="s">
        <v>30</v>
      </c>
      <c r="L26" s="7"/>
      <c r="M26" s="7"/>
      <c r="N26" s="7"/>
      <c r="O26" s="7"/>
      <c r="P26" s="7"/>
      <c r="Q26" s="6"/>
    </row>
    <row r="27" spans="1:17" ht="18" customHeight="1" x14ac:dyDescent="0.3">
      <c r="A27" s="5" t="s">
        <v>27</v>
      </c>
      <c r="B27" s="6" t="s">
        <v>41</v>
      </c>
      <c r="C27" s="6" t="s">
        <v>42</v>
      </c>
      <c r="D27" s="7">
        <v>400</v>
      </c>
      <c r="E27" s="8">
        <f>IFERROR(VLOOKUP(C27,파나소닉A6규격!$A:$C,3,FALSE),IFERROR(VLOOKUP(C27,파스텍EziServo규격!$A:$C,3,FALSE),""))</f>
        <v>1.5</v>
      </c>
      <c r="F27" s="7">
        <v>1</v>
      </c>
      <c r="G27" s="7">
        <v>1</v>
      </c>
      <c r="H27" s="7">
        <v>1</v>
      </c>
      <c r="I27" s="7">
        <v>1</v>
      </c>
      <c r="J27" s="9">
        <f t="shared" si="0"/>
        <v>1.05</v>
      </c>
      <c r="K27" s="7" t="s">
        <v>30</v>
      </c>
      <c r="L27" s="7"/>
      <c r="M27" s="7"/>
      <c r="N27" s="7"/>
      <c r="O27" s="7"/>
      <c r="P27" s="7"/>
      <c r="Q27" s="6"/>
    </row>
    <row r="28" spans="1:17" x14ac:dyDescent="0.3">
      <c r="A28" s="5" t="s">
        <v>27</v>
      </c>
      <c r="B28" s="6" t="s">
        <v>43</v>
      </c>
      <c r="C28" s="6" t="s">
        <v>34</v>
      </c>
      <c r="D28" s="7">
        <v>50</v>
      </c>
      <c r="E28" s="8">
        <f>IFERROR(VLOOKUP(C28,파나소닉A6규격!$A:$C,3,FALSE),IFERROR(VLOOKUP(C28,파스텍EziServo규격!$A:$C,3,FALSE),""))</f>
        <v>0.3</v>
      </c>
      <c r="F28" s="7">
        <v>1</v>
      </c>
      <c r="G28" s="7">
        <v>1</v>
      </c>
      <c r="H28" s="7">
        <v>1</v>
      </c>
      <c r="I28" s="7">
        <v>1</v>
      </c>
      <c r="J28" s="9">
        <f t="shared" si="0"/>
        <v>0.21</v>
      </c>
      <c r="K28" s="7" t="s">
        <v>30</v>
      </c>
      <c r="L28" s="7"/>
      <c r="M28" s="7"/>
      <c r="N28" s="7"/>
      <c r="O28" s="7"/>
      <c r="P28" s="7"/>
      <c r="Q28" s="6"/>
    </row>
    <row r="29" spans="1:17" ht="18" customHeight="1" x14ac:dyDescent="0.3">
      <c r="A29" s="5" t="s">
        <v>27</v>
      </c>
      <c r="B29" s="6" t="s">
        <v>44</v>
      </c>
      <c r="C29" s="6" t="s">
        <v>42</v>
      </c>
      <c r="D29" s="7">
        <v>400</v>
      </c>
      <c r="E29" s="8">
        <f>IFERROR(VLOOKUP(C29,파나소닉A6규격!$A:$C,3,FALSE),IFERROR(VLOOKUP(C29,파스텍EziServo규격!$A:$C,3,FALSE),""))</f>
        <v>1.5</v>
      </c>
      <c r="F29" s="7">
        <v>1</v>
      </c>
      <c r="G29" s="7">
        <v>1</v>
      </c>
      <c r="H29" s="7">
        <v>1</v>
      </c>
      <c r="I29" s="7">
        <v>1</v>
      </c>
      <c r="J29" s="9">
        <f t="shared" si="0"/>
        <v>1.05</v>
      </c>
      <c r="K29" s="7" t="s">
        <v>30</v>
      </c>
      <c r="L29" s="7"/>
      <c r="M29" s="7"/>
      <c r="N29" s="7"/>
      <c r="O29" s="7"/>
      <c r="P29" s="7"/>
      <c r="Q29" s="6"/>
    </row>
    <row r="30" spans="1:17" ht="17.100000000000001" customHeight="1" x14ac:dyDescent="0.3">
      <c r="A30" s="5" t="s">
        <v>27</v>
      </c>
      <c r="B30" s="6" t="s">
        <v>45</v>
      </c>
      <c r="C30" s="6" t="s">
        <v>34</v>
      </c>
      <c r="D30" s="7">
        <v>50</v>
      </c>
      <c r="E30" s="8">
        <f>IFERROR(VLOOKUP(C30,파나소닉A6규격!$A:$C,3,FALSE),IFERROR(VLOOKUP(C30,파스텍EziServo규격!$A:$C,3,FALSE),""))</f>
        <v>0.3</v>
      </c>
      <c r="F30" s="7">
        <v>1</v>
      </c>
      <c r="G30" s="7">
        <v>1</v>
      </c>
      <c r="H30" s="7">
        <v>1</v>
      </c>
      <c r="I30" s="7">
        <v>1</v>
      </c>
      <c r="J30" s="9">
        <f t="shared" si="0"/>
        <v>0.21</v>
      </c>
      <c r="K30" s="7" t="s">
        <v>30</v>
      </c>
      <c r="L30" s="7"/>
      <c r="M30" s="7"/>
      <c r="N30" s="7"/>
      <c r="O30" s="7"/>
      <c r="P30" s="7"/>
      <c r="Q30" s="6"/>
    </row>
    <row r="31" spans="1:17" ht="17.100000000000001" customHeight="1" x14ac:dyDescent="0.3">
      <c r="A31" s="5" t="s">
        <v>27</v>
      </c>
      <c r="B31" s="6" t="s">
        <v>46</v>
      </c>
      <c r="C31" s="6" t="s">
        <v>34</v>
      </c>
      <c r="D31" s="7">
        <v>50</v>
      </c>
      <c r="E31" s="8">
        <f>IFERROR(VLOOKUP(C31,파나소닉A6규격!$A:$C,3,FALSE),IFERROR(VLOOKUP(C31,파스텍EziServo규격!$A:$C,3,FALSE),""))</f>
        <v>0.3</v>
      </c>
      <c r="F31" s="7">
        <v>1</v>
      </c>
      <c r="G31" s="7">
        <v>1</v>
      </c>
      <c r="H31" s="7">
        <v>1</v>
      </c>
      <c r="I31" s="7">
        <v>1</v>
      </c>
      <c r="J31" s="9">
        <f t="shared" si="0"/>
        <v>0.21</v>
      </c>
      <c r="K31" s="7" t="s">
        <v>30</v>
      </c>
      <c r="L31" s="7"/>
      <c r="M31" s="7"/>
      <c r="N31" s="7"/>
      <c r="O31" s="7"/>
      <c r="P31" s="7"/>
      <c r="Q31" s="6"/>
    </row>
    <row r="32" spans="1:17" ht="17.100000000000001" customHeight="1" x14ac:dyDescent="0.3">
      <c r="A32" s="37" t="s">
        <v>265</v>
      </c>
      <c r="B32" s="36"/>
      <c r="C32" s="36"/>
      <c r="D32" s="36"/>
      <c r="E32" s="10">
        <f>SUM(E19:E31)</f>
        <v>17.800000000000004</v>
      </c>
      <c r="F32" s="11"/>
      <c r="G32" s="11"/>
      <c r="H32" s="11"/>
      <c r="I32" s="11"/>
      <c r="J32" s="10">
        <f>SUM(J19:J31)</f>
        <v>12.460000000000004</v>
      </c>
      <c r="K32" s="11"/>
      <c r="L32" s="11"/>
      <c r="M32" s="11"/>
      <c r="N32" s="11"/>
      <c r="O32" s="12">
        <v>20</v>
      </c>
      <c r="P32" s="13" t="s">
        <v>47</v>
      </c>
      <c r="Q32" s="14" t="str">
        <f>J32&amp;"A×1.25="&amp;TEXT(J32*1.25,"0.00")&amp;"A → 20A 선정"</f>
        <v>12.46A×1.25=15.58A → 20A 선정</v>
      </c>
    </row>
    <row r="33" spans="1:17" ht="17.100000000000001" customHeight="1" x14ac:dyDescent="0.3">
      <c r="A33" s="35" t="s">
        <v>8</v>
      </c>
      <c r="B33" s="35" t="s">
        <v>9</v>
      </c>
      <c r="C33" s="35" t="s">
        <v>10</v>
      </c>
      <c r="D33" s="35" t="s">
        <v>11</v>
      </c>
      <c r="E33" s="35" t="s">
        <v>12</v>
      </c>
      <c r="F33" s="35" t="s">
        <v>13</v>
      </c>
      <c r="G33" s="35" t="s">
        <v>14</v>
      </c>
      <c r="H33" s="35" t="s">
        <v>15</v>
      </c>
      <c r="I33" s="35" t="s">
        <v>16</v>
      </c>
      <c r="J33" s="35" t="s">
        <v>17</v>
      </c>
      <c r="K33" s="42" t="s">
        <v>18</v>
      </c>
      <c r="L33" s="36"/>
      <c r="M33" s="36"/>
      <c r="N33" s="36"/>
      <c r="O33" s="35" t="s">
        <v>19</v>
      </c>
      <c r="P33" s="35" t="s">
        <v>20</v>
      </c>
      <c r="Q33" s="43" t="s">
        <v>21</v>
      </c>
    </row>
    <row r="34" spans="1:17" ht="17.100000000000001" customHeight="1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4" t="s">
        <v>22</v>
      </c>
      <c r="L34" s="4" t="s">
        <v>23</v>
      </c>
      <c r="M34" s="4" t="s">
        <v>24</v>
      </c>
      <c r="N34" s="4" t="s">
        <v>25</v>
      </c>
      <c r="O34" s="36"/>
      <c r="P34" s="36"/>
      <c r="Q34" s="36"/>
    </row>
    <row r="35" spans="1:17" ht="15.95" customHeight="1" x14ac:dyDescent="0.3">
      <c r="A35" s="69" t="s">
        <v>260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spans="1:17" ht="17.100000000000001" customHeight="1" x14ac:dyDescent="0.3">
      <c r="A36" s="70" t="s">
        <v>27</v>
      </c>
      <c r="B36" s="31" t="s">
        <v>261</v>
      </c>
      <c r="C36" s="31" t="s">
        <v>201</v>
      </c>
      <c r="D36" s="30">
        <v>0</v>
      </c>
      <c r="E36" s="71" t="str">
        <f>IFERROR(VLOOKUP(C36,[1]파나소닉A6규격!$A:$C,3,FALSE),IFERROR(VLOOKUP(C36,[1]파스텍EziServo규격!$A:$C,3,FALSE),""))</f>
        <v/>
      </c>
      <c r="F36" s="30">
        <v>1</v>
      </c>
      <c r="G36" s="30">
        <v>0</v>
      </c>
      <c r="H36" s="30">
        <v>0</v>
      </c>
      <c r="I36" s="30">
        <v>0</v>
      </c>
      <c r="J36" s="71" t="str">
        <f t="shared" ref="J36:J37" si="1">IF(E36="","",E36*0.7)</f>
        <v/>
      </c>
      <c r="K36" s="30"/>
      <c r="L36" s="30" t="s">
        <v>30</v>
      </c>
      <c r="M36" s="30"/>
      <c r="N36" s="30"/>
      <c r="O36" s="30"/>
      <c r="P36" s="30"/>
      <c r="Q36" s="31" t="s">
        <v>262</v>
      </c>
    </row>
    <row r="37" spans="1:17" ht="17.100000000000001" customHeight="1" x14ac:dyDescent="0.3">
      <c r="A37" s="70" t="s">
        <v>27</v>
      </c>
      <c r="B37" s="31" t="s">
        <v>263</v>
      </c>
      <c r="C37" s="31" t="s">
        <v>201</v>
      </c>
      <c r="D37" s="30">
        <v>0</v>
      </c>
      <c r="E37" s="71" t="str">
        <f>IFERROR(VLOOKUP(C37,[1]파나소닉A6규격!$A:$C,3,FALSE),IFERROR(VLOOKUP(C37,[1]파스텍EziServo규격!$A:$C,3,FALSE),""))</f>
        <v/>
      </c>
      <c r="F37" s="30">
        <v>1</v>
      </c>
      <c r="G37" s="30">
        <v>0</v>
      </c>
      <c r="H37" s="30">
        <v>0</v>
      </c>
      <c r="I37" s="30">
        <v>0</v>
      </c>
      <c r="J37" s="71" t="str">
        <f t="shared" si="1"/>
        <v/>
      </c>
      <c r="K37" s="30"/>
      <c r="L37" s="30" t="s">
        <v>30</v>
      </c>
      <c r="M37" s="30"/>
      <c r="N37" s="30"/>
      <c r="O37" s="30"/>
      <c r="P37" s="30"/>
      <c r="Q37" s="31" t="s">
        <v>264</v>
      </c>
    </row>
    <row r="38" spans="1:17" ht="17.100000000000001" customHeight="1" x14ac:dyDescent="0.3"/>
    <row r="39" spans="1:17" ht="17.100000000000001" customHeight="1" x14ac:dyDescent="0.3">
      <c r="A39" s="35" t="s">
        <v>8</v>
      </c>
      <c r="B39" s="35" t="s">
        <v>9</v>
      </c>
      <c r="C39" s="35" t="s">
        <v>10</v>
      </c>
      <c r="D39" s="35" t="s">
        <v>11</v>
      </c>
      <c r="E39" s="35" t="s">
        <v>12</v>
      </c>
      <c r="F39" s="35" t="s">
        <v>13</v>
      </c>
      <c r="G39" s="35" t="s">
        <v>14</v>
      </c>
      <c r="H39" s="35" t="s">
        <v>15</v>
      </c>
      <c r="I39" s="35" t="s">
        <v>16</v>
      </c>
      <c r="J39" s="35" t="s">
        <v>17</v>
      </c>
      <c r="K39" s="42" t="s">
        <v>18</v>
      </c>
      <c r="L39" s="36"/>
      <c r="M39" s="36"/>
      <c r="N39" s="36"/>
      <c r="O39" s="35" t="s">
        <v>19</v>
      </c>
      <c r="P39" s="35" t="s">
        <v>20</v>
      </c>
      <c r="Q39" s="43" t="s">
        <v>21</v>
      </c>
    </row>
    <row r="40" spans="1:17" ht="17.100000000000001" customHeight="1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4" t="s">
        <v>22</v>
      </c>
      <c r="L40" s="4" t="s">
        <v>23</v>
      </c>
      <c r="M40" s="4" t="s">
        <v>24</v>
      </c>
      <c r="N40" s="4" t="s">
        <v>25</v>
      </c>
      <c r="O40" s="36"/>
      <c r="P40" s="36"/>
      <c r="Q40" s="36"/>
    </row>
    <row r="41" spans="1:17" ht="17.100000000000001" customHeight="1" x14ac:dyDescent="0.3">
      <c r="A41" s="41" t="s">
        <v>48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</row>
    <row r="42" spans="1:17" ht="17.100000000000001" customHeight="1" x14ac:dyDescent="0.3">
      <c r="A42" s="15" t="s">
        <v>49</v>
      </c>
      <c r="B42" s="16" t="s">
        <v>50</v>
      </c>
      <c r="C42" s="16" t="s">
        <v>39</v>
      </c>
      <c r="D42" s="17">
        <v>750</v>
      </c>
      <c r="E42" s="18">
        <f>IFERROR(VLOOKUP(C42,파나소닉A6규격!$A:$C,3,FALSE),IFERROR(VLOOKUP(C42,파스텍EziServo규격!$A:$C,3,FALSE),""))</f>
        <v>2.4</v>
      </c>
      <c r="F42" s="17">
        <v>1</v>
      </c>
      <c r="G42" s="17">
        <v>1</v>
      </c>
      <c r="H42" s="17">
        <v>1</v>
      </c>
      <c r="I42" s="17">
        <v>1</v>
      </c>
      <c r="J42" s="19">
        <f t="shared" ref="J42:J54" si="2">IF(E42="","",ROUND(E42*0.7,3))</f>
        <v>1.68</v>
      </c>
      <c r="K42" s="17" t="s">
        <v>30</v>
      </c>
      <c r="L42" s="17"/>
      <c r="M42" s="17"/>
      <c r="N42" s="17"/>
      <c r="O42" s="17"/>
      <c r="P42" s="17"/>
      <c r="Q42" s="16"/>
    </row>
    <row r="43" spans="1:17" ht="17.100000000000001" customHeight="1" x14ac:dyDescent="0.3">
      <c r="A43" s="15" t="s">
        <v>49</v>
      </c>
      <c r="B43" s="16" t="s">
        <v>51</v>
      </c>
      <c r="C43" s="16" t="s">
        <v>34</v>
      </c>
      <c r="D43" s="17">
        <v>50</v>
      </c>
      <c r="E43" s="18">
        <f>IFERROR(VLOOKUP(C43,파나소닉A6규격!$A:$C,3,FALSE),IFERROR(VLOOKUP(C43,파스텍EziServo규격!$A:$C,3,FALSE),""))</f>
        <v>0.3</v>
      </c>
      <c r="F43" s="17">
        <v>1</v>
      </c>
      <c r="G43" s="17">
        <v>1</v>
      </c>
      <c r="H43" s="17">
        <v>1</v>
      </c>
      <c r="I43" s="17">
        <v>1</v>
      </c>
      <c r="J43" s="19">
        <f t="shared" si="2"/>
        <v>0.21</v>
      </c>
      <c r="K43" s="17" t="s">
        <v>30</v>
      </c>
      <c r="L43" s="17"/>
      <c r="M43" s="17"/>
      <c r="N43" s="17"/>
      <c r="O43" s="17"/>
      <c r="P43" s="17"/>
      <c r="Q43" s="16"/>
    </row>
    <row r="44" spans="1:17" ht="17.100000000000001" customHeight="1" x14ac:dyDescent="0.3">
      <c r="A44" s="15" t="s">
        <v>49</v>
      </c>
      <c r="B44" s="16" t="s">
        <v>52</v>
      </c>
      <c r="C44" s="16" t="s">
        <v>42</v>
      </c>
      <c r="D44" s="17">
        <v>400</v>
      </c>
      <c r="E44" s="18">
        <f>IFERROR(VLOOKUP(C44,파나소닉A6규격!$A:$C,3,FALSE),IFERROR(VLOOKUP(C44,파스텍EziServo규격!$A:$C,3,FALSE),""))</f>
        <v>1.5</v>
      </c>
      <c r="F44" s="17">
        <v>1</v>
      </c>
      <c r="G44" s="17">
        <v>1</v>
      </c>
      <c r="H44" s="17">
        <v>1</v>
      </c>
      <c r="I44" s="17">
        <v>1</v>
      </c>
      <c r="J44" s="19">
        <f t="shared" si="2"/>
        <v>1.05</v>
      </c>
      <c r="K44" s="17" t="s">
        <v>30</v>
      </c>
      <c r="L44" s="17"/>
      <c r="M44" s="17"/>
      <c r="N44" s="17"/>
      <c r="O44" s="17"/>
      <c r="P44" s="17"/>
      <c r="Q44" s="16"/>
    </row>
    <row r="45" spans="1:17" ht="17.100000000000001" customHeight="1" x14ac:dyDescent="0.3">
      <c r="A45" s="15" t="s">
        <v>49</v>
      </c>
      <c r="B45" s="16" t="s">
        <v>53</v>
      </c>
      <c r="C45" s="16" t="s">
        <v>34</v>
      </c>
      <c r="D45" s="17">
        <v>50</v>
      </c>
      <c r="E45" s="18">
        <f>IFERROR(VLOOKUP(C45,파나소닉A6규격!$A:$C,3,FALSE),IFERROR(VLOOKUP(C45,파스텍EziServo규격!$A:$C,3,FALSE),""))</f>
        <v>0.3</v>
      </c>
      <c r="F45" s="17">
        <v>1</v>
      </c>
      <c r="G45" s="17">
        <v>1</v>
      </c>
      <c r="H45" s="17">
        <v>1</v>
      </c>
      <c r="I45" s="17">
        <v>1</v>
      </c>
      <c r="J45" s="19">
        <f t="shared" si="2"/>
        <v>0.21</v>
      </c>
      <c r="K45" s="17" t="s">
        <v>30</v>
      </c>
      <c r="L45" s="17"/>
      <c r="M45" s="17"/>
      <c r="N45" s="17"/>
      <c r="O45" s="17"/>
      <c r="P45" s="17"/>
      <c r="Q45" s="16"/>
    </row>
    <row r="46" spans="1:17" ht="17.100000000000001" customHeight="1" x14ac:dyDescent="0.3">
      <c r="A46" s="15" t="s">
        <v>49</v>
      </c>
      <c r="B46" s="16" t="s">
        <v>54</v>
      </c>
      <c r="C46" s="16" t="s">
        <v>42</v>
      </c>
      <c r="D46" s="17">
        <v>400</v>
      </c>
      <c r="E46" s="18">
        <f>IFERROR(VLOOKUP(C46,파나소닉A6규격!$A:$C,3,FALSE),IFERROR(VLOOKUP(C46,파스텍EziServo규격!$A:$C,3,FALSE),""))</f>
        <v>1.5</v>
      </c>
      <c r="F46" s="17">
        <v>1</v>
      </c>
      <c r="G46" s="17">
        <v>1</v>
      </c>
      <c r="H46" s="17">
        <v>1</v>
      </c>
      <c r="I46" s="17">
        <v>1</v>
      </c>
      <c r="J46" s="19">
        <f t="shared" si="2"/>
        <v>1.05</v>
      </c>
      <c r="K46" s="17" t="s">
        <v>30</v>
      </c>
      <c r="L46" s="17"/>
      <c r="M46" s="17"/>
      <c r="N46" s="17"/>
      <c r="O46" s="17"/>
      <c r="P46" s="17"/>
      <c r="Q46" s="16"/>
    </row>
    <row r="47" spans="1:17" ht="17.100000000000001" customHeight="1" x14ac:dyDescent="0.3">
      <c r="A47" s="15" t="s">
        <v>49</v>
      </c>
      <c r="B47" s="16" t="s">
        <v>55</v>
      </c>
      <c r="C47" s="16" t="s">
        <v>42</v>
      </c>
      <c r="D47" s="17">
        <v>400</v>
      </c>
      <c r="E47" s="18">
        <f>IFERROR(VLOOKUP(C47,파나소닉A6규격!$A:$C,3,FALSE),IFERROR(VLOOKUP(C47,파스텍EziServo규격!$A:$C,3,FALSE),""))</f>
        <v>1.5</v>
      </c>
      <c r="F47" s="17">
        <v>1</v>
      </c>
      <c r="G47" s="17">
        <v>1</v>
      </c>
      <c r="H47" s="17">
        <v>1</v>
      </c>
      <c r="I47" s="17">
        <v>1</v>
      </c>
      <c r="J47" s="19">
        <f t="shared" si="2"/>
        <v>1.05</v>
      </c>
      <c r="K47" s="17" t="s">
        <v>30</v>
      </c>
      <c r="L47" s="17"/>
      <c r="M47" s="17"/>
      <c r="N47" s="17"/>
      <c r="O47" s="17"/>
      <c r="P47" s="17"/>
      <c r="Q47" s="16"/>
    </row>
    <row r="48" spans="1:17" ht="18" customHeight="1" x14ac:dyDescent="0.3">
      <c r="A48" s="15" t="s">
        <v>49</v>
      </c>
      <c r="B48" s="16" t="s">
        <v>56</v>
      </c>
      <c r="C48" s="16" t="s">
        <v>57</v>
      </c>
      <c r="D48" s="17">
        <v>200</v>
      </c>
      <c r="E48" s="18">
        <f>IFERROR(VLOOKUP(C48,파나소닉A6규격!$A:$C,3,FALSE),IFERROR(VLOOKUP(C48,파스텍EziServo규격!$A:$C,3,FALSE),""))</f>
        <v>1</v>
      </c>
      <c r="F48" s="17">
        <v>1</v>
      </c>
      <c r="G48" s="17">
        <v>1</v>
      </c>
      <c r="H48" s="17">
        <v>1</v>
      </c>
      <c r="I48" s="17">
        <v>1</v>
      </c>
      <c r="J48" s="19">
        <f t="shared" si="2"/>
        <v>0.7</v>
      </c>
      <c r="K48" s="17" t="s">
        <v>30</v>
      </c>
      <c r="L48" s="17"/>
      <c r="M48" s="17"/>
      <c r="N48" s="17"/>
      <c r="O48" s="17"/>
      <c r="P48" s="17"/>
      <c r="Q48" s="16"/>
    </row>
    <row r="49" spans="1:17" x14ac:dyDescent="0.3">
      <c r="A49" s="15" t="s">
        <v>49</v>
      </c>
      <c r="B49" s="16" t="s">
        <v>58</v>
      </c>
      <c r="C49" s="16" t="s">
        <v>57</v>
      </c>
      <c r="D49" s="17">
        <v>200</v>
      </c>
      <c r="E49" s="18">
        <f>IFERROR(VLOOKUP(C49,파나소닉A6규격!$A:$C,3,FALSE),IFERROR(VLOOKUP(C49,파스텍EziServo규격!$A:$C,3,FALSE),""))</f>
        <v>1</v>
      </c>
      <c r="F49" s="17">
        <v>1</v>
      </c>
      <c r="G49" s="17">
        <v>1</v>
      </c>
      <c r="H49" s="17">
        <v>1</v>
      </c>
      <c r="I49" s="17">
        <v>1</v>
      </c>
      <c r="J49" s="19">
        <f t="shared" si="2"/>
        <v>0.7</v>
      </c>
      <c r="K49" s="17" t="s">
        <v>30</v>
      </c>
      <c r="L49" s="17"/>
      <c r="M49" s="17"/>
      <c r="N49" s="17"/>
      <c r="O49" s="17"/>
      <c r="P49" s="17"/>
      <c r="Q49" s="16"/>
    </row>
    <row r="50" spans="1:17" ht="18" customHeight="1" x14ac:dyDescent="0.3">
      <c r="A50" s="15" t="s">
        <v>49</v>
      </c>
      <c r="B50" s="16" t="s">
        <v>59</v>
      </c>
      <c r="C50" s="16" t="s">
        <v>34</v>
      </c>
      <c r="D50" s="17">
        <v>50</v>
      </c>
      <c r="E50" s="18">
        <f>IFERROR(VLOOKUP(C50,파나소닉A6규격!$A:$C,3,FALSE),IFERROR(VLOOKUP(C50,파스텍EziServo규격!$A:$C,3,FALSE),""))</f>
        <v>0.3</v>
      </c>
      <c r="F50" s="17">
        <v>1</v>
      </c>
      <c r="G50" s="17">
        <v>1</v>
      </c>
      <c r="H50" s="17">
        <v>1</v>
      </c>
      <c r="I50" s="17">
        <v>1</v>
      </c>
      <c r="J50" s="19">
        <f t="shared" si="2"/>
        <v>0.21</v>
      </c>
      <c r="K50" s="17" t="s">
        <v>30</v>
      </c>
      <c r="L50" s="17"/>
      <c r="M50" s="17"/>
      <c r="N50" s="17"/>
      <c r="O50" s="17"/>
      <c r="P50" s="17"/>
      <c r="Q50" s="16"/>
    </row>
    <row r="51" spans="1:17" ht="17.100000000000001" customHeight="1" x14ac:dyDescent="0.3">
      <c r="A51" s="15" t="s">
        <v>49</v>
      </c>
      <c r="B51" s="16" t="s">
        <v>60</v>
      </c>
      <c r="C51" s="16" t="s">
        <v>57</v>
      </c>
      <c r="D51" s="17">
        <v>200</v>
      </c>
      <c r="E51" s="18">
        <f>IFERROR(VLOOKUP(C51,파나소닉A6규격!$A:$C,3,FALSE),IFERROR(VLOOKUP(C51,파스텍EziServo규격!$A:$C,3,FALSE),""))</f>
        <v>1</v>
      </c>
      <c r="F51" s="17">
        <v>1</v>
      </c>
      <c r="G51" s="17">
        <v>1</v>
      </c>
      <c r="H51" s="17">
        <v>1</v>
      </c>
      <c r="I51" s="17">
        <v>1</v>
      </c>
      <c r="J51" s="19">
        <f t="shared" si="2"/>
        <v>0.7</v>
      </c>
      <c r="K51" s="17" t="s">
        <v>30</v>
      </c>
      <c r="L51" s="17"/>
      <c r="M51" s="17"/>
      <c r="N51" s="17"/>
      <c r="O51" s="17"/>
      <c r="P51" s="17"/>
      <c r="Q51" s="16"/>
    </row>
    <row r="52" spans="1:17" ht="17.100000000000001" customHeight="1" x14ac:dyDescent="0.3">
      <c r="A52" s="15" t="s">
        <v>49</v>
      </c>
      <c r="B52" s="16" t="s">
        <v>61</v>
      </c>
      <c r="C52" s="16" t="s">
        <v>57</v>
      </c>
      <c r="D52" s="17">
        <v>200</v>
      </c>
      <c r="E52" s="18">
        <f>IFERROR(VLOOKUP(C52,파나소닉A6규격!$A:$C,3,FALSE),IFERROR(VLOOKUP(C52,파스텍EziServo규격!$A:$C,3,FALSE),""))</f>
        <v>1</v>
      </c>
      <c r="F52" s="17">
        <v>1</v>
      </c>
      <c r="G52" s="17">
        <v>1</v>
      </c>
      <c r="H52" s="17">
        <v>1</v>
      </c>
      <c r="I52" s="17">
        <v>1</v>
      </c>
      <c r="J52" s="19">
        <f t="shared" si="2"/>
        <v>0.7</v>
      </c>
      <c r="K52" s="17" t="s">
        <v>30</v>
      </c>
      <c r="L52" s="17"/>
      <c r="M52" s="17"/>
      <c r="N52" s="17"/>
      <c r="O52" s="17"/>
      <c r="P52" s="17"/>
      <c r="Q52" s="16"/>
    </row>
    <row r="53" spans="1:17" ht="17.100000000000001" customHeight="1" x14ac:dyDescent="0.3">
      <c r="A53" s="15" t="s">
        <v>49</v>
      </c>
      <c r="B53" s="16" t="s">
        <v>62</v>
      </c>
      <c r="C53" s="16" t="s">
        <v>34</v>
      </c>
      <c r="D53" s="17">
        <v>50</v>
      </c>
      <c r="E53" s="18">
        <f>IFERROR(VLOOKUP(C53,파나소닉A6규격!$A:$C,3,FALSE),IFERROR(VLOOKUP(C53,파스텍EziServo규격!$A:$C,3,FALSE),""))</f>
        <v>0.3</v>
      </c>
      <c r="F53" s="17">
        <v>1</v>
      </c>
      <c r="G53" s="17">
        <v>1</v>
      </c>
      <c r="H53" s="17">
        <v>1</v>
      </c>
      <c r="I53" s="17">
        <v>1</v>
      </c>
      <c r="J53" s="19">
        <f t="shared" si="2"/>
        <v>0.21</v>
      </c>
      <c r="K53" s="17" t="s">
        <v>30</v>
      </c>
      <c r="L53" s="17"/>
      <c r="M53" s="17"/>
      <c r="N53" s="17"/>
      <c r="O53" s="17"/>
      <c r="P53" s="17"/>
      <c r="Q53" s="16"/>
    </row>
    <row r="54" spans="1:17" ht="17.100000000000001" customHeight="1" x14ac:dyDescent="0.3">
      <c r="A54" s="15" t="s">
        <v>49</v>
      </c>
      <c r="B54" s="16" t="s">
        <v>63</v>
      </c>
      <c r="C54" s="16" t="s">
        <v>57</v>
      </c>
      <c r="D54" s="17">
        <v>200</v>
      </c>
      <c r="E54" s="18">
        <f>IFERROR(VLOOKUP(C54,파나소닉A6규격!$A:$C,3,FALSE),IFERROR(VLOOKUP(C54,파스텍EziServo규격!$A:$C,3,FALSE),""))</f>
        <v>1</v>
      </c>
      <c r="F54" s="17">
        <v>1</v>
      </c>
      <c r="G54" s="17">
        <v>1</v>
      </c>
      <c r="H54" s="17">
        <v>1</v>
      </c>
      <c r="I54" s="17">
        <v>1</v>
      </c>
      <c r="J54" s="19">
        <f t="shared" si="2"/>
        <v>0.7</v>
      </c>
      <c r="K54" s="17" t="s">
        <v>30</v>
      </c>
      <c r="L54" s="17"/>
      <c r="M54" s="17"/>
      <c r="N54" s="17"/>
      <c r="O54" s="17"/>
      <c r="P54" s="17"/>
      <c r="Q54" s="16"/>
    </row>
    <row r="55" spans="1:17" ht="17.100000000000001" customHeight="1" x14ac:dyDescent="0.3">
      <c r="A55" s="37" t="s">
        <v>64</v>
      </c>
      <c r="B55" s="36"/>
      <c r="C55" s="36"/>
      <c r="D55" s="36"/>
      <c r="E55" s="10">
        <f>SUM(E42:E54)</f>
        <v>13.100000000000001</v>
      </c>
      <c r="F55" s="11"/>
      <c r="G55" s="11"/>
      <c r="H55" s="11"/>
      <c r="I55" s="11"/>
      <c r="J55" s="10">
        <f>SUM(J42:J54)</f>
        <v>9.17</v>
      </c>
      <c r="K55" s="11"/>
      <c r="L55" s="11"/>
      <c r="M55" s="11"/>
      <c r="N55" s="11"/>
      <c r="O55" s="12">
        <v>15</v>
      </c>
      <c r="P55" s="13" t="s">
        <v>65</v>
      </c>
      <c r="Q55" s="14" t="str">
        <f>J55&amp;"A×1.25="&amp;TEXT(J55*1.25,"0.00")&amp;"A → 15A 선정"</f>
        <v>9.17A×1.25=11.46A → 15A 선정</v>
      </c>
    </row>
    <row r="56" spans="1:17" ht="17.100000000000001" customHeight="1" x14ac:dyDescent="0.3"/>
    <row r="57" spans="1:17" ht="17.100000000000001" customHeight="1" x14ac:dyDescent="0.3">
      <c r="A57" s="35" t="s">
        <v>8</v>
      </c>
      <c r="B57" s="35" t="s">
        <v>9</v>
      </c>
      <c r="C57" s="35" t="s">
        <v>10</v>
      </c>
      <c r="D57" s="35" t="s">
        <v>11</v>
      </c>
      <c r="E57" s="35" t="s">
        <v>12</v>
      </c>
      <c r="F57" s="35" t="s">
        <v>13</v>
      </c>
      <c r="G57" s="35" t="s">
        <v>14</v>
      </c>
      <c r="H57" s="35" t="s">
        <v>15</v>
      </c>
      <c r="I57" s="35" t="s">
        <v>16</v>
      </c>
      <c r="J57" s="35" t="s">
        <v>17</v>
      </c>
      <c r="K57" s="42" t="s">
        <v>18</v>
      </c>
      <c r="L57" s="36"/>
      <c r="M57" s="36"/>
      <c r="N57" s="36"/>
      <c r="O57" s="35" t="s">
        <v>19</v>
      </c>
      <c r="P57" s="35" t="s">
        <v>20</v>
      </c>
      <c r="Q57" s="43" t="s">
        <v>21</v>
      </c>
    </row>
    <row r="58" spans="1:17" ht="17.100000000000001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4" t="s">
        <v>22</v>
      </c>
      <c r="L58" s="4" t="s">
        <v>23</v>
      </c>
      <c r="M58" s="4" t="s">
        <v>24</v>
      </c>
      <c r="N58" s="4" t="s">
        <v>25</v>
      </c>
      <c r="O58" s="36"/>
      <c r="P58" s="36"/>
      <c r="Q58" s="36"/>
    </row>
    <row r="59" spans="1:17" ht="17.100000000000001" customHeight="1" x14ac:dyDescent="0.3">
      <c r="A59" s="67" t="s">
        <v>66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</row>
    <row r="60" spans="1:17" ht="17.100000000000001" customHeight="1" x14ac:dyDescent="0.3">
      <c r="A60" s="5" t="s">
        <v>67</v>
      </c>
      <c r="B60" s="6" t="s">
        <v>68</v>
      </c>
      <c r="C60" s="6" t="s">
        <v>57</v>
      </c>
      <c r="D60" s="7">
        <v>200</v>
      </c>
      <c r="E60" s="8">
        <f>IFERROR(VLOOKUP(C60,파나소닉A6규격!$A:$C,3,FALSE),IFERROR(VLOOKUP(C60,파스텍EziServo규격!$A:$C,3,FALSE),""))</f>
        <v>1</v>
      </c>
      <c r="F60" s="7">
        <v>1</v>
      </c>
      <c r="G60" s="7">
        <v>1</v>
      </c>
      <c r="H60" s="7">
        <v>1</v>
      </c>
      <c r="I60" s="7">
        <v>1</v>
      </c>
      <c r="J60" s="9">
        <f t="shared" ref="J60:J80" si="3">IF(E60="","",ROUND(E60*0.7,3))</f>
        <v>0.7</v>
      </c>
      <c r="K60" s="7" t="s">
        <v>30</v>
      </c>
      <c r="L60" s="7"/>
      <c r="M60" s="7"/>
      <c r="N60" s="7"/>
      <c r="O60" s="7"/>
      <c r="P60" s="7"/>
      <c r="Q60" s="6"/>
    </row>
    <row r="61" spans="1:17" ht="17.100000000000001" customHeight="1" x14ac:dyDescent="0.3">
      <c r="A61" s="5" t="s">
        <v>67</v>
      </c>
      <c r="B61" s="6" t="s">
        <v>69</v>
      </c>
      <c r="C61" s="6" t="s">
        <v>34</v>
      </c>
      <c r="D61" s="7">
        <v>50</v>
      </c>
      <c r="E61" s="8">
        <f>IFERROR(VLOOKUP(C61,파나소닉A6규격!$A:$C,3,FALSE),IFERROR(VLOOKUP(C61,파스텍EziServo규격!$A:$C,3,FALSE),""))</f>
        <v>0.3</v>
      </c>
      <c r="F61" s="7">
        <v>1</v>
      </c>
      <c r="G61" s="7">
        <v>1</v>
      </c>
      <c r="H61" s="7">
        <v>1</v>
      </c>
      <c r="I61" s="7">
        <v>1</v>
      </c>
      <c r="J61" s="9">
        <f t="shared" si="3"/>
        <v>0.21</v>
      </c>
      <c r="K61" s="7" t="s">
        <v>30</v>
      </c>
      <c r="L61" s="7"/>
      <c r="M61" s="7"/>
      <c r="N61" s="7"/>
      <c r="O61" s="7"/>
      <c r="P61" s="7"/>
      <c r="Q61" s="6"/>
    </row>
    <row r="62" spans="1:17" ht="17.100000000000001" customHeight="1" x14ac:dyDescent="0.3">
      <c r="A62" s="5" t="s">
        <v>67</v>
      </c>
      <c r="B62" s="6" t="s">
        <v>70</v>
      </c>
      <c r="C62" s="6" t="s">
        <v>57</v>
      </c>
      <c r="D62" s="7">
        <v>200</v>
      </c>
      <c r="E62" s="8">
        <f>IFERROR(VLOOKUP(C62,파나소닉A6규격!$A:$C,3,FALSE),IFERROR(VLOOKUP(C62,파스텍EziServo규격!$A:$C,3,FALSE),""))</f>
        <v>1</v>
      </c>
      <c r="F62" s="7">
        <v>1</v>
      </c>
      <c r="G62" s="7">
        <v>1</v>
      </c>
      <c r="H62" s="7">
        <v>1</v>
      </c>
      <c r="I62" s="7">
        <v>1</v>
      </c>
      <c r="J62" s="9">
        <f t="shared" si="3"/>
        <v>0.7</v>
      </c>
      <c r="K62" s="7" t="s">
        <v>30</v>
      </c>
      <c r="L62" s="7"/>
      <c r="M62" s="7"/>
      <c r="N62" s="7"/>
      <c r="O62" s="7"/>
      <c r="P62" s="7"/>
      <c r="Q62" s="6"/>
    </row>
    <row r="63" spans="1:17" ht="17.100000000000001" customHeight="1" x14ac:dyDescent="0.3">
      <c r="A63" s="5" t="s">
        <v>67</v>
      </c>
      <c r="B63" s="6" t="s">
        <v>71</v>
      </c>
      <c r="C63" s="6" t="s">
        <v>57</v>
      </c>
      <c r="D63" s="7">
        <v>200</v>
      </c>
      <c r="E63" s="8">
        <f>IFERROR(VLOOKUP(C63,파나소닉A6규격!$A:$C,3,FALSE),IFERROR(VLOOKUP(C63,파스텍EziServo규격!$A:$C,3,FALSE),""))</f>
        <v>1</v>
      </c>
      <c r="F63" s="7">
        <v>1</v>
      </c>
      <c r="G63" s="7">
        <v>1</v>
      </c>
      <c r="H63" s="7">
        <v>1</v>
      </c>
      <c r="I63" s="7">
        <v>1</v>
      </c>
      <c r="J63" s="9">
        <f t="shared" si="3"/>
        <v>0.7</v>
      </c>
      <c r="K63" s="7" t="s">
        <v>30</v>
      </c>
      <c r="L63" s="7"/>
      <c r="M63" s="7"/>
      <c r="N63" s="7"/>
      <c r="O63" s="7"/>
      <c r="P63" s="7"/>
      <c r="Q63" s="6"/>
    </row>
    <row r="64" spans="1:17" ht="17.100000000000001" customHeight="1" x14ac:dyDescent="0.3">
      <c r="A64" s="5" t="s">
        <v>67</v>
      </c>
      <c r="B64" s="6" t="s">
        <v>72</v>
      </c>
      <c r="C64" s="6" t="s">
        <v>34</v>
      </c>
      <c r="D64" s="7">
        <v>50</v>
      </c>
      <c r="E64" s="8">
        <f>IFERROR(VLOOKUP(C64,파나소닉A6규격!$A:$C,3,FALSE),IFERROR(VLOOKUP(C64,파스텍EziServo규격!$A:$C,3,FALSE),""))</f>
        <v>0.3</v>
      </c>
      <c r="F64" s="7">
        <v>1</v>
      </c>
      <c r="G64" s="7">
        <v>1</v>
      </c>
      <c r="H64" s="7">
        <v>1</v>
      </c>
      <c r="I64" s="7">
        <v>1</v>
      </c>
      <c r="J64" s="9">
        <f t="shared" si="3"/>
        <v>0.21</v>
      </c>
      <c r="K64" s="7" t="s">
        <v>30</v>
      </c>
      <c r="L64" s="7"/>
      <c r="M64" s="7"/>
      <c r="N64" s="7"/>
      <c r="O64" s="7"/>
      <c r="P64" s="7"/>
      <c r="Q64" s="6"/>
    </row>
    <row r="65" spans="1:17" ht="17.100000000000001" customHeight="1" x14ac:dyDescent="0.3">
      <c r="A65" s="5" t="s">
        <v>67</v>
      </c>
      <c r="B65" s="6" t="s">
        <v>73</v>
      </c>
      <c r="C65" s="6" t="s">
        <v>57</v>
      </c>
      <c r="D65" s="7">
        <v>200</v>
      </c>
      <c r="E65" s="8">
        <f>IFERROR(VLOOKUP(C65,파나소닉A6규격!$A:$C,3,FALSE),IFERROR(VLOOKUP(C65,파스텍EziServo규격!$A:$C,3,FALSE),""))</f>
        <v>1</v>
      </c>
      <c r="F65" s="7">
        <v>1</v>
      </c>
      <c r="G65" s="7">
        <v>1</v>
      </c>
      <c r="H65" s="7">
        <v>1</v>
      </c>
      <c r="I65" s="7">
        <v>1</v>
      </c>
      <c r="J65" s="9">
        <f t="shared" si="3"/>
        <v>0.7</v>
      </c>
      <c r="K65" s="7" t="s">
        <v>30</v>
      </c>
      <c r="L65" s="7"/>
      <c r="M65" s="7"/>
      <c r="N65" s="7"/>
      <c r="O65" s="7"/>
      <c r="P65" s="7"/>
      <c r="Q65" s="6"/>
    </row>
    <row r="66" spans="1:17" ht="17.100000000000001" customHeight="1" x14ac:dyDescent="0.3">
      <c r="A66" s="5" t="s">
        <v>67</v>
      </c>
      <c r="B66" s="6" t="s">
        <v>74</v>
      </c>
      <c r="C66" s="6" t="s">
        <v>57</v>
      </c>
      <c r="D66" s="7">
        <v>200</v>
      </c>
      <c r="E66" s="8">
        <f>IFERROR(VLOOKUP(C66,파나소닉A6규격!$A:$C,3,FALSE),IFERROR(VLOOKUP(C66,파스텍EziServo규격!$A:$C,3,FALSE),""))</f>
        <v>1</v>
      </c>
      <c r="F66" s="7">
        <v>1</v>
      </c>
      <c r="G66" s="7">
        <v>1</v>
      </c>
      <c r="H66" s="7">
        <v>1</v>
      </c>
      <c r="I66" s="7">
        <v>1</v>
      </c>
      <c r="J66" s="9">
        <f t="shared" si="3"/>
        <v>0.7</v>
      </c>
      <c r="K66" s="7" t="s">
        <v>30</v>
      </c>
      <c r="L66" s="7"/>
      <c r="M66" s="7"/>
      <c r="N66" s="7"/>
      <c r="O66" s="7"/>
      <c r="P66" s="7"/>
      <c r="Q66" s="6"/>
    </row>
    <row r="67" spans="1:17" ht="17.100000000000001" customHeight="1" x14ac:dyDescent="0.3">
      <c r="A67" s="5" t="s">
        <v>67</v>
      </c>
      <c r="B67" s="6" t="s">
        <v>75</v>
      </c>
      <c r="C67" s="6" t="s">
        <v>34</v>
      </c>
      <c r="D67" s="7">
        <v>50</v>
      </c>
      <c r="E67" s="8">
        <f>IFERROR(VLOOKUP(C67,파나소닉A6규격!$A:$C,3,FALSE),IFERROR(VLOOKUP(C67,파스텍EziServo규격!$A:$C,3,FALSE),""))</f>
        <v>0.3</v>
      </c>
      <c r="F67" s="7">
        <v>1</v>
      </c>
      <c r="G67" s="7">
        <v>1</v>
      </c>
      <c r="H67" s="7">
        <v>1</v>
      </c>
      <c r="I67" s="7">
        <v>1</v>
      </c>
      <c r="J67" s="9">
        <f t="shared" si="3"/>
        <v>0.21</v>
      </c>
      <c r="K67" s="7" t="s">
        <v>30</v>
      </c>
      <c r="L67" s="7"/>
      <c r="M67" s="7"/>
      <c r="N67" s="7"/>
      <c r="O67" s="7"/>
      <c r="P67" s="7"/>
      <c r="Q67" s="6"/>
    </row>
    <row r="68" spans="1:17" ht="17.100000000000001" customHeight="1" x14ac:dyDescent="0.3">
      <c r="A68" s="5" t="s">
        <v>67</v>
      </c>
      <c r="B68" s="6" t="s">
        <v>76</v>
      </c>
      <c r="C68" s="6" t="s">
        <v>57</v>
      </c>
      <c r="D68" s="7">
        <v>200</v>
      </c>
      <c r="E68" s="8">
        <f>IFERROR(VLOOKUP(C68,파나소닉A6규격!$A:$C,3,FALSE),IFERROR(VLOOKUP(C68,파스텍EziServo규격!$A:$C,3,FALSE),""))</f>
        <v>1</v>
      </c>
      <c r="F68" s="7">
        <v>1</v>
      </c>
      <c r="G68" s="7">
        <v>1</v>
      </c>
      <c r="H68" s="7">
        <v>1</v>
      </c>
      <c r="I68" s="7">
        <v>1</v>
      </c>
      <c r="J68" s="9">
        <f t="shared" si="3"/>
        <v>0.7</v>
      </c>
      <c r="K68" s="7" t="s">
        <v>30</v>
      </c>
      <c r="L68" s="7"/>
      <c r="M68" s="7"/>
      <c r="N68" s="7"/>
      <c r="O68" s="7"/>
      <c r="P68" s="7"/>
      <c r="Q68" s="6"/>
    </row>
    <row r="69" spans="1:17" ht="17.100000000000001" customHeight="1" x14ac:dyDescent="0.3">
      <c r="A69" s="5" t="s">
        <v>67</v>
      </c>
      <c r="B69" s="6" t="s">
        <v>77</v>
      </c>
      <c r="C69" s="6" t="s">
        <v>34</v>
      </c>
      <c r="D69" s="7">
        <v>50</v>
      </c>
      <c r="E69" s="8">
        <f>IFERROR(VLOOKUP(C69,파나소닉A6규격!$A:$C,3,FALSE),IFERROR(VLOOKUP(C69,파스텍EziServo규격!$A:$C,3,FALSE),""))</f>
        <v>0.3</v>
      </c>
      <c r="F69" s="7">
        <v>1</v>
      </c>
      <c r="G69" s="7">
        <v>1</v>
      </c>
      <c r="H69" s="7">
        <v>1</v>
      </c>
      <c r="I69" s="7">
        <v>1</v>
      </c>
      <c r="J69" s="9">
        <f t="shared" si="3"/>
        <v>0.21</v>
      </c>
      <c r="K69" s="7" t="s">
        <v>30</v>
      </c>
      <c r="L69" s="7"/>
      <c r="M69" s="7"/>
      <c r="N69" s="7"/>
      <c r="O69" s="7"/>
      <c r="P69" s="7"/>
      <c r="Q69" s="6"/>
    </row>
    <row r="70" spans="1:17" ht="17.100000000000001" customHeight="1" x14ac:dyDescent="0.3">
      <c r="A70" s="5" t="s">
        <v>67</v>
      </c>
      <c r="B70" s="6" t="s">
        <v>78</v>
      </c>
      <c r="C70" s="6" t="s">
        <v>34</v>
      </c>
      <c r="D70" s="7">
        <v>50</v>
      </c>
      <c r="E70" s="8">
        <f>IFERROR(VLOOKUP(C70,파나소닉A6규격!$A:$C,3,FALSE),IFERROR(VLOOKUP(C70,파스텍EziServo규격!$A:$C,3,FALSE),""))</f>
        <v>0.3</v>
      </c>
      <c r="F70" s="7">
        <v>1</v>
      </c>
      <c r="G70" s="7">
        <v>1</v>
      </c>
      <c r="H70" s="7">
        <v>1</v>
      </c>
      <c r="I70" s="7">
        <v>1</v>
      </c>
      <c r="J70" s="9">
        <f t="shared" si="3"/>
        <v>0.21</v>
      </c>
      <c r="K70" s="7" t="s">
        <v>30</v>
      </c>
      <c r="L70" s="7"/>
      <c r="M70" s="7"/>
      <c r="N70" s="7"/>
      <c r="O70" s="7"/>
      <c r="P70" s="7"/>
      <c r="Q70" s="6"/>
    </row>
    <row r="71" spans="1:17" ht="17.100000000000001" customHeight="1" x14ac:dyDescent="0.3">
      <c r="A71" s="5" t="s">
        <v>67</v>
      </c>
      <c r="B71" s="6" t="s">
        <v>79</v>
      </c>
      <c r="C71" s="6" t="s">
        <v>57</v>
      </c>
      <c r="D71" s="7">
        <v>200</v>
      </c>
      <c r="E71" s="8">
        <f>IFERROR(VLOOKUP(C71,파나소닉A6규격!$A:$C,3,FALSE),IFERROR(VLOOKUP(C71,파스텍EziServo규격!$A:$C,3,FALSE),""))</f>
        <v>1</v>
      </c>
      <c r="F71" s="7">
        <v>1</v>
      </c>
      <c r="G71" s="7">
        <v>1</v>
      </c>
      <c r="H71" s="7">
        <v>1</v>
      </c>
      <c r="I71" s="7">
        <v>1</v>
      </c>
      <c r="J71" s="9">
        <f t="shared" si="3"/>
        <v>0.7</v>
      </c>
      <c r="K71" s="7" t="s">
        <v>30</v>
      </c>
      <c r="L71" s="7"/>
      <c r="M71" s="7"/>
      <c r="N71" s="7"/>
      <c r="O71" s="7"/>
      <c r="P71" s="7"/>
      <c r="Q71" s="6"/>
    </row>
    <row r="72" spans="1:17" ht="17.100000000000001" customHeight="1" x14ac:dyDescent="0.3">
      <c r="A72" s="5" t="s">
        <v>67</v>
      </c>
      <c r="B72" s="6" t="s">
        <v>80</v>
      </c>
      <c r="C72" s="6" t="s">
        <v>34</v>
      </c>
      <c r="D72" s="7">
        <v>50</v>
      </c>
      <c r="E72" s="8">
        <f>IFERROR(VLOOKUP(C72,파나소닉A6규격!$A:$C,3,FALSE),IFERROR(VLOOKUP(C72,파스텍EziServo규격!$A:$C,3,FALSE),""))</f>
        <v>0.3</v>
      </c>
      <c r="F72" s="7">
        <v>1</v>
      </c>
      <c r="G72" s="7">
        <v>1</v>
      </c>
      <c r="H72" s="7">
        <v>1</v>
      </c>
      <c r="I72" s="7">
        <v>1</v>
      </c>
      <c r="J72" s="9">
        <f t="shared" si="3"/>
        <v>0.21</v>
      </c>
      <c r="K72" s="7" t="s">
        <v>30</v>
      </c>
      <c r="L72" s="7"/>
      <c r="M72" s="7"/>
      <c r="N72" s="7"/>
      <c r="O72" s="7"/>
      <c r="P72" s="7"/>
      <c r="Q72" s="6"/>
    </row>
    <row r="73" spans="1:17" ht="17.100000000000001" customHeight="1" x14ac:dyDescent="0.3">
      <c r="A73" s="5" t="s">
        <v>67</v>
      </c>
      <c r="B73" s="6" t="s">
        <v>81</v>
      </c>
      <c r="C73" s="6" t="s">
        <v>34</v>
      </c>
      <c r="D73" s="7">
        <v>50</v>
      </c>
      <c r="E73" s="8">
        <f>IFERROR(VLOOKUP(C73,파나소닉A6규격!$A:$C,3,FALSE),IFERROR(VLOOKUP(C73,파스텍EziServo규격!$A:$C,3,FALSE),""))</f>
        <v>0.3</v>
      </c>
      <c r="F73" s="7">
        <v>1</v>
      </c>
      <c r="G73" s="7">
        <v>1</v>
      </c>
      <c r="H73" s="7">
        <v>1</v>
      </c>
      <c r="I73" s="7">
        <v>1</v>
      </c>
      <c r="J73" s="9">
        <f t="shared" si="3"/>
        <v>0.21</v>
      </c>
      <c r="K73" s="7" t="s">
        <v>30</v>
      </c>
      <c r="L73" s="7"/>
      <c r="M73" s="7"/>
      <c r="N73" s="7"/>
      <c r="O73" s="7"/>
      <c r="P73" s="7"/>
      <c r="Q73" s="6"/>
    </row>
    <row r="74" spans="1:17" ht="18" customHeight="1" x14ac:dyDescent="0.3">
      <c r="A74" s="5" t="s">
        <v>67</v>
      </c>
      <c r="B74" s="6" t="s">
        <v>82</v>
      </c>
      <c r="C74" s="6" t="s">
        <v>57</v>
      </c>
      <c r="D74" s="7">
        <v>200</v>
      </c>
      <c r="E74" s="8">
        <f>IFERROR(VLOOKUP(C74,파나소닉A6규격!$A:$C,3,FALSE),IFERROR(VLOOKUP(C74,파스텍EziServo규격!$A:$C,3,FALSE),""))</f>
        <v>1</v>
      </c>
      <c r="F74" s="7">
        <v>1</v>
      </c>
      <c r="G74" s="7">
        <v>1</v>
      </c>
      <c r="H74" s="7">
        <v>1</v>
      </c>
      <c r="I74" s="7">
        <v>1</v>
      </c>
      <c r="J74" s="9">
        <f t="shared" si="3"/>
        <v>0.7</v>
      </c>
      <c r="K74" s="7" t="s">
        <v>30</v>
      </c>
      <c r="L74" s="7"/>
      <c r="M74" s="7"/>
      <c r="N74" s="7"/>
      <c r="O74" s="7"/>
      <c r="P74" s="7"/>
      <c r="Q74" s="6"/>
    </row>
    <row r="75" spans="1:17" x14ac:dyDescent="0.3">
      <c r="A75" s="5" t="s">
        <v>67</v>
      </c>
      <c r="B75" s="6" t="s">
        <v>83</v>
      </c>
      <c r="C75" s="6" t="s">
        <v>34</v>
      </c>
      <c r="D75" s="7">
        <v>50</v>
      </c>
      <c r="E75" s="8">
        <f>IFERROR(VLOOKUP(C75,파나소닉A6규격!$A:$C,3,FALSE),IFERROR(VLOOKUP(C75,파스텍EziServo규격!$A:$C,3,FALSE),""))</f>
        <v>0.3</v>
      </c>
      <c r="F75" s="7">
        <v>1</v>
      </c>
      <c r="G75" s="7">
        <v>1</v>
      </c>
      <c r="H75" s="7">
        <v>1</v>
      </c>
      <c r="I75" s="7">
        <v>1</v>
      </c>
      <c r="J75" s="9">
        <f t="shared" si="3"/>
        <v>0.21</v>
      </c>
      <c r="K75" s="7" t="s">
        <v>30</v>
      </c>
      <c r="L75" s="7"/>
      <c r="M75" s="7"/>
      <c r="N75" s="7"/>
      <c r="O75" s="7"/>
      <c r="P75" s="7"/>
      <c r="Q75" s="6"/>
    </row>
    <row r="76" spans="1:17" ht="18" customHeight="1" x14ac:dyDescent="0.3">
      <c r="A76" s="5" t="s">
        <v>67</v>
      </c>
      <c r="B76" s="6" t="s">
        <v>84</v>
      </c>
      <c r="C76" s="6" t="s">
        <v>39</v>
      </c>
      <c r="D76" s="7">
        <v>750</v>
      </c>
      <c r="E76" s="8">
        <f>IFERROR(VLOOKUP(C76,파나소닉A6규격!$A:$C,3,FALSE),IFERROR(VLOOKUP(C76,파스텍EziServo규격!$A:$C,3,FALSE),""))</f>
        <v>2.4</v>
      </c>
      <c r="F76" s="7">
        <v>1</v>
      </c>
      <c r="G76" s="7">
        <v>1</v>
      </c>
      <c r="H76" s="7">
        <v>1</v>
      </c>
      <c r="I76" s="7">
        <v>1</v>
      </c>
      <c r="J76" s="9">
        <f t="shared" si="3"/>
        <v>1.68</v>
      </c>
      <c r="K76" s="7" t="s">
        <v>30</v>
      </c>
      <c r="L76" s="7"/>
      <c r="M76" s="7"/>
      <c r="N76" s="7"/>
      <c r="O76" s="7"/>
      <c r="P76" s="7"/>
      <c r="Q76" s="6"/>
    </row>
    <row r="77" spans="1:17" ht="17.100000000000001" customHeight="1" x14ac:dyDescent="0.3">
      <c r="A77" s="5" t="s">
        <v>67</v>
      </c>
      <c r="B77" s="6" t="s">
        <v>85</v>
      </c>
      <c r="C77" s="6" t="s">
        <v>34</v>
      </c>
      <c r="D77" s="7">
        <v>50</v>
      </c>
      <c r="E77" s="8">
        <f>IFERROR(VLOOKUP(C77,파나소닉A6규격!$A:$C,3,FALSE),IFERROR(VLOOKUP(C77,파스텍EziServo규격!$A:$C,3,FALSE),""))</f>
        <v>0.3</v>
      </c>
      <c r="F77" s="7">
        <v>1</v>
      </c>
      <c r="G77" s="7">
        <v>1</v>
      </c>
      <c r="H77" s="7">
        <v>1</v>
      </c>
      <c r="I77" s="7">
        <v>1</v>
      </c>
      <c r="J77" s="9">
        <f t="shared" si="3"/>
        <v>0.21</v>
      </c>
      <c r="K77" s="7" t="s">
        <v>30</v>
      </c>
      <c r="L77" s="7"/>
      <c r="M77" s="7"/>
      <c r="N77" s="7"/>
      <c r="O77" s="7"/>
      <c r="P77" s="7"/>
      <c r="Q77" s="6"/>
    </row>
    <row r="78" spans="1:17" ht="17.100000000000001" customHeight="1" x14ac:dyDescent="0.3">
      <c r="A78" s="5" t="s">
        <v>67</v>
      </c>
      <c r="B78" s="6" t="s">
        <v>86</v>
      </c>
      <c r="C78" s="6" t="s">
        <v>42</v>
      </c>
      <c r="D78" s="7">
        <v>400</v>
      </c>
      <c r="E78" s="8">
        <f>IFERROR(VLOOKUP(C78,파나소닉A6규격!$A:$C,3,FALSE),IFERROR(VLOOKUP(C78,파스텍EziServo규격!$A:$C,3,FALSE),""))</f>
        <v>1.5</v>
      </c>
      <c r="F78" s="7">
        <v>1</v>
      </c>
      <c r="G78" s="7">
        <v>1</v>
      </c>
      <c r="H78" s="7">
        <v>1</v>
      </c>
      <c r="I78" s="7">
        <v>1</v>
      </c>
      <c r="J78" s="9">
        <f t="shared" si="3"/>
        <v>1.05</v>
      </c>
      <c r="K78" s="7" t="s">
        <v>30</v>
      </c>
      <c r="L78" s="7"/>
      <c r="M78" s="7"/>
      <c r="N78" s="7"/>
      <c r="O78" s="7"/>
      <c r="P78" s="7"/>
      <c r="Q78" s="6"/>
    </row>
    <row r="79" spans="1:17" ht="17.100000000000001" customHeight="1" x14ac:dyDescent="0.3">
      <c r="A79" s="5" t="s">
        <v>67</v>
      </c>
      <c r="B79" s="6" t="s">
        <v>87</v>
      </c>
      <c r="C79" s="6" t="s">
        <v>34</v>
      </c>
      <c r="D79" s="7">
        <v>50</v>
      </c>
      <c r="E79" s="8">
        <f>IFERROR(VLOOKUP(C79,파나소닉A6규격!$A:$C,3,FALSE),IFERROR(VLOOKUP(C79,파스텍EziServo규격!$A:$C,3,FALSE),""))</f>
        <v>0.3</v>
      </c>
      <c r="F79" s="7">
        <v>1</v>
      </c>
      <c r="G79" s="7">
        <v>1</v>
      </c>
      <c r="H79" s="7">
        <v>1</v>
      </c>
      <c r="I79" s="7">
        <v>1</v>
      </c>
      <c r="J79" s="9">
        <f t="shared" si="3"/>
        <v>0.21</v>
      </c>
      <c r="K79" s="7" t="s">
        <v>30</v>
      </c>
      <c r="L79" s="7"/>
      <c r="M79" s="7"/>
      <c r="N79" s="7"/>
      <c r="O79" s="7"/>
      <c r="P79" s="7"/>
      <c r="Q79" s="6"/>
    </row>
    <row r="80" spans="1:17" ht="17.100000000000001" customHeight="1" x14ac:dyDescent="0.3">
      <c r="A80" s="5" t="s">
        <v>67</v>
      </c>
      <c r="B80" s="6" t="s">
        <v>88</v>
      </c>
      <c r="C80" s="6" t="s">
        <v>42</v>
      </c>
      <c r="D80" s="7">
        <v>400</v>
      </c>
      <c r="E80" s="8">
        <f>IFERROR(VLOOKUP(C80,파나소닉A6규격!$A:$C,3,FALSE),IFERROR(VLOOKUP(C80,파스텍EziServo규격!$A:$C,3,FALSE),""))</f>
        <v>1.5</v>
      </c>
      <c r="F80" s="7">
        <v>1</v>
      </c>
      <c r="G80" s="7">
        <v>1</v>
      </c>
      <c r="H80" s="7">
        <v>1</v>
      </c>
      <c r="I80" s="7">
        <v>1</v>
      </c>
      <c r="J80" s="9">
        <f t="shared" si="3"/>
        <v>1.05</v>
      </c>
      <c r="K80" s="7" t="s">
        <v>30</v>
      </c>
      <c r="L80" s="7"/>
      <c r="M80" s="7"/>
      <c r="N80" s="7"/>
      <c r="O80" s="7"/>
      <c r="P80" s="7"/>
      <c r="Q80" s="6"/>
    </row>
    <row r="81" spans="1:17" ht="17.100000000000001" customHeight="1" x14ac:dyDescent="0.3">
      <c r="A81" s="37" t="s">
        <v>89</v>
      </c>
      <c r="B81" s="36"/>
      <c r="C81" s="36"/>
      <c r="D81" s="36"/>
      <c r="E81" s="10">
        <f>SUM(E60:E80)</f>
        <v>16.400000000000006</v>
      </c>
      <c r="F81" s="11"/>
      <c r="G81" s="11"/>
      <c r="H81" s="11"/>
      <c r="I81" s="11"/>
      <c r="J81" s="10">
        <f>SUM(J60:J80)</f>
        <v>11.480000000000004</v>
      </c>
      <c r="K81" s="11"/>
      <c r="L81" s="11"/>
      <c r="M81" s="11"/>
      <c r="N81" s="11"/>
      <c r="O81" s="12">
        <v>20</v>
      </c>
      <c r="P81" s="13" t="s">
        <v>47</v>
      </c>
      <c r="Q81" s="14" t="str">
        <f>J81&amp;"A×1.25="&amp;TEXT(J81*1.25,"0.00")&amp;"A → 20A 선정"</f>
        <v>11.48A×1.25=14.35A → 20A 선정</v>
      </c>
    </row>
    <row r="82" spans="1:17" ht="17.100000000000001" customHeight="1" x14ac:dyDescent="0.3"/>
    <row r="83" spans="1:17" ht="17.100000000000001" customHeight="1" x14ac:dyDescent="0.3">
      <c r="A83" s="35" t="s">
        <v>8</v>
      </c>
      <c r="B83" s="35" t="s">
        <v>9</v>
      </c>
      <c r="C83" s="35" t="s">
        <v>10</v>
      </c>
      <c r="D83" s="35" t="s">
        <v>11</v>
      </c>
      <c r="E83" s="35" t="s">
        <v>12</v>
      </c>
      <c r="F83" s="35" t="s">
        <v>13</v>
      </c>
      <c r="G83" s="35" t="s">
        <v>14</v>
      </c>
      <c r="H83" s="35" t="s">
        <v>15</v>
      </c>
      <c r="I83" s="35" t="s">
        <v>16</v>
      </c>
      <c r="J83" s="35" t="s">
        <v>17</v>
      </c>
      <c r="K83" s="42" t="s">
        <v>18</v>
      </c>
      <c r="L83" s="36"/>
      <c r="M83" s="36"/>
      <c r="N83" s="36"/>
      <c r="O83" s="35" t="s">
        <v>19</v>
      </c>
      <c r="P83" s="35" t="s">
        <v>20</v>
      </c>
      <c r="Q83" s="43" t="s">
        <v>21</v>
      </c>
    </row>
    <row r="84" spans="1:17" ht="17.100000000000001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4" t="s">
        <v>22</v>
      </c>
      <c r="L84" s="4" t="s">
        <v>23</v>
      </c>
      <c r="M84" s="4" t="s">
        <v>24</v>
      </c>
      <c r="N84" s="4" t="s">
        <v>25</v>
      </c>
      <c r="O84" s="36"/>
      <c r="P84" s="36"/>
      <c r="Q84" s="36"/>
    </row>
    <row r="85" spans="1:17" ht="15.95" customHeight="1" x14ac:dyDescent="0.3">
      <c r="A85" s="69" t="s">
        <v>260</v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 spans="1:17" ht="15.95" customHeight="1" x14ac:dyDescent="0.3">
      <c r="A86" s="70" t="s">
        <v>67</v>
      </c>
      <c r="B86" s="31" t="s">
        <v>266</v>
      </c>
      <c r="C86" s="31" t="s">
        <v>138</v>
      </c>
      <c r="D86" s="30">
        <v>0</v>
      </c>
      <c r="E86" s="71" t="str">
        <f>IFERROR(VLOOKUP(C86,[1]파나소닉A6규격!$A:$C,3,FALSE),IFERROR(VLOOKUP(C86,[1]파스텍EziServo규격!$A:$C,3,FALSE),""))</f>
        <v/>
      </c>
      <c r="F86" s="30">
        <v>1</v>
      </c>
      <c r="G86" s="30">
        <v>0</v>
      </c>
      <c r="H86" s="30">
        <v>0</v>
      </c>
      <c r="I86" s="30">
        <v>0</v>
      </c>
      <c r="J86" s="71" t="str">
        <f t="shared" ref="J86:J91" si="4">IF(E86="","",E86*0.7)</f>
        <v/>
      </c>
      <c r="K86" s="30"/>
      <c r="L86" s="30" t="s">
        <v>30</v>
      </c>
      <c r="M86" s="30"/>
      <c r="N86" s="30"/>
      <c r="O86" s="30"/>
      <c r="P86" s="30"/>
      <c r="Q86" s="31" t="s">
        <v>267</v>
      </c>
    </row>
    <row r="87" spans="1:17" ht="15.95" customHeight="1" x14ac:dyDescent="0.3">
      <c r="A87" s="70" t="s">
        <v>67</v>
      </c>
      <c r="B87" s="31" t="s">
        <v>268</v>
      </c>
      <c r="C87" s="31" t="s">
        <v>138</v>
      </c>
      <c r="D87" s="30">
        <v>0</v>
      </c>
      <c r="E87" s="71" t="str">
        <f>IFERROR(VLOOKUP(C87,[1]파나소닉A6규격!$A:$C,3,FALSE),IFERROR(VLOOKUP(C87,[1]파스텍EziServo규격!$A:$C,3,FALSE),""))</f>
        <v/>
      </c>
      <c r="F87" s="30">
        <v>1</v>
      </c>
      <c r="G87" s="30">
        <v>0</v>
      </c>
      <c r="H87" s="30">
        <v>0</v>
      </c>
      <c r="I87" s="30">
        <v>0</v>
      </c>
      <c r="J87" s="71" t="str">
        <f t="shared" si="4"/>
        <v/>
      </c>
      <c r="K87" s="30"/>
      <c r="L87" s="30" t="s">
        <v>30</v>
      </c>
      <c r="M87" s="30"/>
      <c r="N87" s="30"/>
      <c r="O87" s="30"/>
      <c r="P87" s="30"/>
      <c r="Q87" s="31" t="s">
        <v>269</v>
      </c>
    </row>
    <row r="88" spans="1:17" ht="15.95" customHeight="1" x14ac:dyDescent="0.3">
      <c r="A88" s="70" t="s">
        <v>67</v>
      </c>
      <c r="B88" s="31" t="s">
        <v>270</v>
      </c>
      <c r="C88" s="31" t="s">
        <v>138</v>
      </c>
      <c r="D88" s="30">
        <v>0</v>
      </c>
      <c r="E88" s="71" t="str">
        <f>IFERROR(VLOOKUP(C88,[1]파나소닉A6규격!$A:$C,3,FALSE),IFERROR(VLOOKUP(C88,[1]파스텍EziServo규격!$A:$C,3,FALSE),""))</f>
        <v/>
      </c>
      <c r="F88" s="30">
        <v>1</v>
      </c>
      <c r="G88" s="30">
        <v>0</v>
      </c>
      <c r="H88" s="30">
        <v>0</v>
      </c>
      <c r="I88" s="30">
        <v>0</v>
      </c>
      <c r="J88" s="71" t="str">
        <f t="shared" si="4"/>
        <v/>
      </c>
      <c r="K88" s="30"/>
      <c r="L88" s="30" t="s">
        <v>30</v>
      </c>
      <c r="M88" s="30"/>
      <c r="N88" s="30"/>
      <c r="O88" s="30"/>
      <c r="P88" s="30"/>
      <c r="Q88" s="31" t="s">
        <v>271</v>
      </c>
    </row>
    <row r="89" spans="1:17" ht="15.95" customHeight="1" x14ac:dyDescent="0.3">
      <c r="A89" s="70" t="s">
        <v>67</v>
      </c>
      <c r="B89" s="31" t="s">
        <v>272</v>
      </c>
      <c r="C89" s="31" t="s">
        <v>138</v>
      </c>
      <c r="D89" s="30">
        <v>0</v>
      </c>
      <c r="E89" s="71" t="str">
        <f>IFERROR(VLOOKUP(C89,[1]파나소닉A6규격!$A:$C,3,FALSE),IFERROR(VLOOKUP(C89,[1]파스텍EziServo규격!$A:$C,3,FALSE),""))</f>
        <v/>
      </c>
      <c r="F89" s="30">
        <v>1</v>
      </c>
      <c r="G89" s="30">
        <v>0</v>
      </c>
      <c r="H89" s="30">
        <v>0</v>
      </c>
      <c r="I89" s="30">
        <v>0</v>
      </c>
      <c r="J89" s="71" t="str">
        <f t="shared" si="4"/>
        <v/>
      </c>
      <c r="K89" s="30"/>
      <c r="L89" s="30" t="s">
        <v>30</v>
      </c>
      <c r="M89" s="30"/>
      <c r="N89" s="30"/>
      <c r="O89" s="30"/>
      <c r="P89" s="30"/>
      <c r="Q89" s="31" t="s">
        <v>273</v>
      </c>
    </row>
    <row r="90" spans="1:17" ht="15.95" customHeight="1" x14ac:dyDescent="0.3">
      <c r="A90" s="70" t="s">
        <v>67</v>
      </c>
      <c r="B90" s="31" t="s">
        <v>274</v>
      </c>
      <c r="C90" s="31" t="s">
        <v>138</v>
      </c>
      <c r="D90" s="30">
        <v>0</v>
      </c>
      <c r="E90" s="71" t="str">
        <f>IFERROR(VLOOKUP(C90,[1]파나소닉A6규격!$A:$C,3,FALSE),IFERROR(VLOOKUP(C90,[1]파스텍EziServo규격!$A:$C,3,FALSE),""))</f>
        <v/>
      </c>
      <c r="F90" s="30">
        <v>1</v>
      </c>
      <c r="G90" s="30">
        <v>0</v>
      </c>
      <c r="H90" s="30">
        <v>0</v>
      </c>
      <c r="I90" s="30">
        <v>0</v>
      </c>
      <c r="J90" s="71" t="str">
        <f t="shared" si="4"/>
        <v/>
      </c>
      <c r="K90" s="30"/>
      <c r="L90" s="30" t="s">
        <v>30</v>
      </c>
      <c r="M90" s="30"/>
      <c r="N90" s="30"/>
      <c r="O90" s="30"/>
      <c r="P90" s="30"/>
      <c r="Q90" s="31" t="s">
        <v>275</v>
      </c>
    </row>
    <row r="91" spans="1:17" ht="15.95" customHeight="1" x14ac:dyDescent="0.3">
      <c r="A91" s="70" t="s">
        <v>67</v>
      </c>
      <c r="B91" s="31" t="s">
        <v>276</v>
      </c>
      <c r="C91" s="31" t="s">
        <v>138</v>
      </c>
      <c r="D91" s="30">
        <v>0</v>
      </c>
      <c r="E91" s="71" t="str">
        <f>IFERROR(VLOOKUP(C91,[1]파나소닉A6규격!$A:$C,3,FALSE),IFERROR(VLOOKUP(C91,[1]파스텍EziServo규격!$A:$C,3,FALSE),""))</f>
        <v/>
      </c>
      <c r="F91" s="30">
        <v>1</v>
      </c>
      <c r="G91" s="30">
        <v>0</v>
      </c>
      <c r="H91" s="30">
        <v>0</v>
      </c>
      <c r="I91" s="30">
        <v>0</v>
      </c>
      <c r="J91" s="71" t="str">
        <f t="shared" si="4"/>
        <v/>
      </c>
      <c r="K91" s="30"/>
      <c r="L91" s="30" t="s">
        <v>30</v>
      </c>
      <c r="M91" s="30"/>
      <c r="N91" s="30"/>
      <c r="O91" s="30"/>
      <c r="P91" s="30"/>
      <c r="Q91" s="31" t="s">
        <v>277</v>
      </c>
    </row>
    <row r="92" spans="1:17" ht="17.100000000000001" customHeight="1" x14ac:dyDescent="0.3"/>
    <row r="93" spans="1:17" ht="17.100000000000001" customHeight="1" x14ac:dyDescent="0.3">
      <c r="A93" s="35" t="s">
        <v>285</v>
      </c>
      <c r="B93" s="35" t="s">
        <v>9</v>
      </c>
      <c r="C93" s="35" t="s">
        <v>10</v>
      </c>
      <c r="D93" s="35" t="s">
        <v>11</v>
      </c>
      <c r="E93" s="35" t="s">
        <v>12</v>
      </c>
      <c r="F93" s="35" t="s">
        <v>13</v>
      </c>
      <c r="G93" s="35" t="s">
        <v>14</v>
      </c>
      <c r="H93" s="35" t="s">
        <v>15</v>
      </c>
      <c r="I93" s="35" t="s">
        <v>16</v>
      </c>
      <c r="J93" s="35" t="s">
        <v>17</v>
      </c>
      <c r="K93" s="42" t="s">
        <v>18</v>
      </c>
      <c r="L93" s="36"/>
      <c r="M93" s="36"/>
      <c r="N93" s="36"/>
      <c r="O93" s="35" t="s">
        <v>19</v>
      </c>
      <c r="P93" s="35" t="s">
        <v>20</v>
      </c>
      <c r="Q93" s="43" t="s">
        <v>21</v>
      </c>
    </row>
    <row r="94" spans="1:17" ht="17.100000000000001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4" t="s">
        <v>22</v>
      </c>
      <c r="L94" s="4" t="s">
        <v>23</v>
      </c>
      <c r="M94" s="4" t="s">
        <v>24</v>
      </c>
      <c r="N94" s="4" t="s">
        <v>25</v>
      </c>
      <c r="O94" s="36"/>
      <c r="P94" s="36"/>
      <c r="Q94" s="36"/>
    </row>
    <row r="95" spans="1:17" ht="17.100000000000001" customHeight="1" x14ac:dyDescent="0.3">
      <c r="A95" s="41" t="s">
        <v>90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 spans="1:17" ht="17.100000000000001" customHeight="1" x14ac:dyDescent="0.3">
      <c r="A96" s="15" t="s">
        <v>91</v>
      </c>
      <c r="B96" s="16" t="s">
        <v>92</v>
      </c>
      <c r="C96" s="16" t="s">
        <v>57</v>
      </c>
      <c r="D96" s="17">
        <v>200</v>
      </c>
      <c r="E96" s="18">
        <f>IFERROR(VLOOKUP(C96,파나소닉A6규격!$A:$C,3,FALSE),IFERROR(VLOOKUP(C96,파스텍EziServo규격!$A:$C,3,FALSE),""))</f>
        <v>1</v>
      </c>
      <c r="F96" s="17">
        <v>1</v>
      </c>
      <c r="G96" s="17">
        <v>1</v>
      </c>
      <c r="H96" s="17">
        <v>1</v>
      </c>
      <c r="I96" s="17">
        <v>1</v>
      </c>
      <c r="J96" s="19">
        <f t="shared" ref="J96:J112" si="5">IF(E96="","",ROUND(E96*0.7,3))</f>
        <v>0.7</v>
      </c>
      <c r="K96" s="17" t="s">
        <v>30</v>
      </c>
      <c r="L96" s="17"/>
      <c r="M96" s="17"/>
      <c r="N96" s="17"/>
      <c r="O96" s="17"/>
      <c r="P96" s="17"/>
      <c r="Q96" s="16"/>
    </row>
    <row r="97" spans="1:17" ht="17.100000000000001" customHeight="1" x14ac:dyDescent="0.3">
      <c r="A97" s="15" t="s">
        <v>91</v>
      </c>
      <c r="B97" s="16" t="s">
        <v>93</v>
      </c>
      <c r="C97" s="16" t="s">
        <v>57</v>
      </c>
      <c r="D97" s="17">
        <v>200</v>
      </c>
      <c r="E97" s="18">
        <f>IFERROR(VLOOKUP(C97,파나소닉A6규격!$A:$C,3,FALSE),IFERROR(VLOOKUP(C97,파스텍EziServo규격!$A:$C,3,FALSE),""))</f>
        <v>1</v>
      </c>
      <c r="F97" s="17">
        <v>1</v>
      </c>
      <c r="G97" s="17">
        <v>1</v>
      </c>
      <c r="H97" s="17">
        <v>1</v>
      </c>
      <c r="I97" s="17">
        <v>1</v>
      </c>
      <c r="J97" s="19">
        <f t="shared" si="5"/>
        <v>0.7</v>
      </c>
      <c r="K97" s="17" t="s">
        <v>30</v>
      </c>
      <c r="L97" s="17"/>
      <c r="M97" s="17"/>
      <c r="N97" s="17"/>
      <c r="O97" s="17"/>
      <c r="P97" s="17"/>
      <c r="Q97" s="16"/>
    </row>
    <row r="98" spans="1:17" ht="17.100000000000001" customHeight="1" x14ac:dyDescent="0.3">
      <c r="A98" s="15" t="s">
        <v>91</v>
      </c>
      <c r="B98" s="16" t="s">
        <v>94</v>
      </c>
      <c r="C98" s="16" t="s">
        <v>34</v>
      </c>
      <c r="D98" s="17">
        <v>50</v>
      </c>
      <c r="E98" s="18">
        <f>IFERROR(VLOOKUP(C98,파나소닉A6규격!$A:$C,3,FALSE),IFERROR(VLOOKUP(C98,파스텍EziServo규격!$A:$C,3,FALSE),""))</f>
        <v>0.3</v>
      </c>
      <c r="F98" s="17">
        <v>1</v>
      </c>
      <c r="G98" s="17">
        <v>1</v>
      </c>
      <c r="H98" s="17">
        <v>1</v>
      </c>
      <c r="I98" s="17">
        <v>1</v>
      </c>
      <c r="J98" s="19">
        <f t="shared" si="5"/>
        <v>0.21</v>
      </c>
      <c r="K98" s="17" t="s">
        <v>30</v>
      </c>
      <c r="L98" s="17"/>
      <c r="M98" s="17"/>
      <c r="N98" s="17"/>
      <c r="O98" s="17"/>
      <c r="P98" s="17"/>
      <c r="Q98" s="16"/>
    </row>
    <row r="99" spans="1:17" ht="17.100000000000001" customHeight="1" x14ac:dyDescent="0.3">
      <c r="A99" s="15" t="s">
        <v>91</v>
      </c>
      <c r="B99" s="16" t="s">
        <v>95</v>
      </c>
      <c r="C99" s="16" t="s">
        <v>57</v>
      </c>
      <c r="D99" s="17">
        <v>200</v>
      </c>
      <c r="E99" s="18">
        <f>IFERROR(VLOOKUP(C99,파나소닉A6규격!$A:$C,3,FALSE),IFERROR(VLOOKUP(C99,파스텍EziServo규격!$A:$C,3,FALSE),""))</f>
        <v>1</v>
      </c>
      <c r="F99" s="17">
        <v>1</v>
      </c>
      <c r="G99" s="17">
        <v>1</v>
      </c>
      <c r="H99" s="17">
        <v>1</v>
      </c>
      <c r="I99" s="17">
        <v>1</v>
      </c>
      <c r="J99" s="19">
        <f t="shared" si="5"/>
        <v>0.7</v>
      </c>
      <c r="K99" s="17" t="s">
        <v>30</v>
      </c>
      <c r="L99" s="17"/>
      <c r="M99" s="17"/>
      <c r="N99" s="17"/>
      <c r="O99" s="17"/>
      <c r="P99" s="17"/>
      <c r="Q99" s="16"/>
    </row>
    <row r="100" spans="1:17" ht="17.100000000000001" customHeight="1" x14ac:dyDescent="0.3">
      <c r="A100" s="15" t="s">
        <v>91</v>
      </c>
      <c r="B100" s="16" t="s">
        <v>96</v>
      </c>
      <c r="C100" s="16" t="s">
        <v>57</v>
      </c>
      <c r="D100" s="17">
        <v>200</v>
      </c>
      <c r="E100" s="18">
        <f>IFERROR(VLOOKUP(C100,파나소닉A6규격!$A:$C,3,FALSE),IFERROR(VLOOKUP(C100,파스텍EziServo규격!$A:$C,3,FALSE),""))</f>
        <v>1</v>
      </c>
      <c r="F100" s="17">
        <v>1</v>
      </c>
      <c r="G100" s="17">
        <v>1</v>
      </c>
      <c r="H100" s="17">
        <v>1</v>
      </c>
      <c r="I100" s="17">
        <v>1</v>
      </c>
      <c r="J100" s="19">
        <f t="shared" si="5"/>
        <v>0.7</v>
      </c>
      <c r="K100" s="17" t="s">
        <v>30</v>
      </c>
      <c r="L100" s="17"/>
      <c r="M100" s="17"/>
      <c r="N100" s="17"/>
      <c r="O100" s="17"/>
      <c r="P100" s="17"/>
      <c r="Q100" s="16"/>
    </row>
    <row r="101" spans="1:17" ht="17.100000000000001" customHeight="1" x14ac:dyDescent="0.3">
      <c r="A101" s="15" t="s">
        <v>91</v>
      </c>
      <c r="B101" s="16" t="s">
        <v>97</v>
      </c>
      <c r="C101" s="16" t="s">
        <v>34</v>
      </c>
      <c r="D101" s="17">
        <v>50</v>
      </c>
      <c r="E101" s="18">
        <f>IFERROR(VLOOKUP(C101,파나소닉A6규격!$A:$C,3,FALSE),IFERROR(VLOOKUP(C101,파스텍EziServo규격!$A:$C,3,FALSE),""))</f>
        <v>0.3</v>
      </c>
      <c r="F101" s="17">
        <v>1</v>
      </c>
      <c r="G101" s="17">
        <v>1</v>
      </c>
      <c r="H101" s="17">
        <v>1</v>
      </c>
      <c r="I101" s="17">
        <v>1</v>
      </c>
      <c r="J101" s="19">
        <f t="shared" si="5"/>
        <v>0.21</v>
      </c>
      <c r="K101" s="17" t="s">
        <v>30</v>
      </c>
      <c r="L101" s="17"/>
      <c r="M101" s="17"/>
      <c r="N101" s="17"/>
      <c r="O101" s="17"/>
      <c r="P101" s="17"/>
      <c r="Q101" s="16"/>
    </row>
    <row r="102" spans="1:17" ht="17.100000000000001" customHeight="1" x14ac:dyDescent="0.3">
      <c r="A102" s="15" t="s">
        <v>91</v>
      </c>
      <c r="B102" s="16" t="s">
        <v>98</v>
      </c>
      <c r="C102" s="16" t="s">
        <v>57</v>
      </c>
      <c r="D102" s="17">
        <v>200</v>
      </c>
      <c r="E102" s="18">
        <f>IFERROR(VLOOKUP(C102,파나소닉A6규격!$A:$C,3,FALSE),IFERROR(VLOOKUP(C102,파스텍EziServo규격!$A:$C,3,FALSE),""))</f>
        <v>1</v>
      </c>
      <c r="F102" s="17">
        <v>1</v>
      </c>
      <c r="G102" s="17">
        <v>1</v>
      </c>
      <c r="H102" s="17">
        <v>1</v>
      </c>
      <c r="I102" s="17">
        <v>1</v>
      </c>
      <c r="J102" s="19">
        <f t="shared" si="5"/>
        <v>0.7</v>
      </c>
      <c r="K102" s="17" t="s">
        <v>30</v>
      </c>
      <c r="L102" s="17"/>
      <c r="M102" s="17"/>
      <c r="N102" s="17"/>
      <c r="O102" s="17"/>
      <c r="P102" s="17"/>
      <c r="Q102" s="16"/>
    </row>
    <row r="103" spans="1:17" ht="17.100000000000001" customHeight="1" x14ac:dyDescent="0.3">
      <c r="A103" s="15" t="s">
        <v>91</v>
      </c>
      <c r="B103" s="16" t="s">
        <v>99</v>
      </c>
      <c r="C103" s="16" t="s">
        <v>57</v>
      </c>
      <c r="D103" s="17">
        <v>200</v>
      </c>
      <c r="E103" s="18">
        <f>IFERROR(VLOOKUP(C103,파나소닉A6규격!$A:$C,3,FALSE),IFERROR(VLOOKUP(C103,파스텍EziServo규격!$A:$C,3,FALSE),""))</f>
        <v>1</v>
      </c>
      <c r="F103" s="17">
        <v>1</v>
      </c>
      <c r="G103" s="17">
        <v>1</v>
      </c>
      <c r="H103" s="17">
        <v>1</v>
      </c>
      <c r="I103" s="17">
        <v>1</v>
      </c>
      <c r="J103" s="19">
        <f t="shared" si="5"/>
        <v>0.7</v>
      </c>
      <c r="K103" s="17" t="s">
        <v>30</v>
      </c>
      <c r="L103" s="17"/>
      <c r="M103" s="17"/>
      <c r="N103" s="17"/>
      <c r="O103" s="17"/>
      <c r="P103" s="17"/>
      <c r="Q103" s="16"/>
    </row>
    <row r="104" spans="1:17" ht="17.100000000000001" customHeight="1" x14ac:dyDescent="0.3">
      <c r="A104" s="15" t="s">
        <v>91</v>
      </c>
      <c r="B104" s="16" t="s">
        <v>100</v>
      </c>
      <c r="C104" s="16" t="s">
        <v>57</v>
      </c>
      <c r="D104" s="17">
        <v>200</v>
      </c>
      <c r="E104" s="18">
        <f>IFERROR(VLOOKUP(C104,파나소닉A6규격!$A:$C,3,FALSE),IFERROR(VLOOKUP(C104,파스텍EziServo규격!$A:$C,3,FALSE),""))</f>
        <v>1</v>
      </c>
      <c r="F104" s="17">
        <v>1</v>
      </c>
      <c r="G104" s="17">
        <v>1</v>
      </c>
      <c r="H104" s="17">
        <v>1</v>
      </c>
      <c r="I104" s="17">
        <v>1</v>
      </c>
      <c r="J104" s="19">
        <f t="shared" si="5"/>
        <v>0.7</v>
      </c>
      <c r="K104" s="17" t="s">
        <v>30</v>
      </c>
      <c r="L104" s="17"/>
      <c r="M104" s="17"/>
      <c r="N104" s="17"/>
      <c r="O104" s="17"/>
      <c r="P104" s="17"/>
      <c r="Q104" s="16"/>
    </row>
    <row r="105" spans="1:17" ht="17.100000000000001" customHeight="1" x14ac:dyDescent="0.3">
      <c r="A105" s="15" t="s">
        <v>91</v>
      </c>
      <c r="B105" s="16" t="s">
        <v>101</v>
      </c>
      <c r="C105" s="16" t="s">
        <v>57</v>
      </c>
      <c r="D105" s="17">
        <v>200</v>
      </c>
      <c r="E105" s="18">
        <f>IFERROR(VLOOKUP(C105,파나소닉A6규격!$A:$C,3,FALSE),IFERROR(VLOOKUP(C105,파스텍EziServo규격!$A:$C,3,FALSE),""))</f>
        <v>1</v>
      </c>
      <c r="F105" s="17">
        <v>1</v>
      </c>
      <c r="G105" s="17">
        <v>1</v>
      </c>
      <c r="H105" s="17">
        <v>1</v>
      </c>
      <c r="I105" s="17">
        <v>1</v>
      </c>
      <c r="J105" s="19">
        <f t="shared" si="5"/>
        <v>0.7</v>
      </c>
      <c r="K105" s="17" t="s">
        <v>30</v>
      </c>
      <c r="L105" s="17"/>
      <c r="M105" s="17"/>
      <c r="N105" s="17"/>
      <c r="O105" s="17"/>
      <c r="P105" s="17"/>
      <c r="Q105" s="16"/>
    </row>
    <row r="106" spans="1:17" ht="18" customHeight="1" x14ac:dyDescent="0.3">
      <c r="A106" s="15" t="s">
        <v>91</v>
      </c>
      <c r="B106" s="16" t="s">
        <v>102</v>
      </c>
      <c r="C106" s="16" t="s">
        <v>34</v>
      </c>
      <c r="D106" s="17">
        <v>50</v>
      </c>
      <c r="E106" s="18">
        <f>IFERROR(VLOOKUP(C106,파나소닉A6규격!$A:$C,3,FALSE),IFERROR(VLOOKUP(C106,파스텍EziServo규격!$A:$C,3,FALSE),""))</f>
        <v>0.3</v>
      </c>
      <c r="F106" s="17">
        <v>1</v>
      </c>
      <c r="G106" s="17">
        <v>1</v>
      </c>
      <c r="H106" s="17">
        <v>1</v>
      </c>
      <c r="I106" s="17">
        <v>1</v>
      </c>
      <c r="J106" s="19">
        <f t="shared" si="5"/>
        <v>0.21</v>
      </c>
      <c r="K106" s="17" t="s">
        <v>30</v>
      </c>
      <c r="L106" s="17"/>
      <c r="M106" s="17"/>
      <c r="N106" s="17"/>
      <c r="O106" s="17"/>
      <c r="P106" s="17"/>
      <c r="Q106" s="16"/>
    </row>
    <row r="107" spans="1:17" x14ac:dyDescent="0.3">
      <c r="A107" s="15" t="s">
        <v>91</v>
      </c>
      <c r="B107" s="16" t="s">
        <v>103</v>
      </c>
      <c r="C107" s="16" t="s">
        <v>34</v>
      </c>
      <c r="D107" s="17">
        <v>50</v>
      </c>
      <c r="E107" s="18">
        <f>IFERROR(VLOOKUP(C107,파나소닉A6규격!$A:$C,3,FALSE),IFERROR(VLOOKUP(C107,파스텍EziServo규격!$A:$C,3,FALSE),""))</f>
        <v>0.3</v>
      </c>
      <c r="F107" s="17">
        <v>1</v>
      </c>
      <c r="G107" s="17">
        <v>1</v>
      </c>
      <c r="H107" s="17">
        <v>1</v>
      </c>
      <c r="I107" s="17">
        <v>1</v>
      </c>
      <c r="J107" s="19">
        <f t="shared" si="5"/>
        <v>0.21</v>
      </c>
      <c r="K107" s="17" t="s">
        <v>30</v>
      </c>
      <c r="L107" s="17"/>
      <c r="M107" s="17"/>
      <c r="N107" s="17"/>
      <c r="O107" s="17"/>
      <c r="P107" s="17"/>
      <c r="Q107" s="16"/>
    </row>
    <row r="108" spans="1:17" ht="18" customHeight="1" x14ac:dyDescent="0.3">
      <c r="A108" s="15" t="s">
        <v>91</v>
      </c>
      <c r="B108" s="16" t="s">
        <v>104</v>
      </c>
      <c r="C108" s="16" t="s">
        <v>34</v>
      </c>
      <c r="D108" s="17">
        <v>50</v>
      </c>
      <c r="E108" s="18">
        <f>IFERROR(VLOOKUP(C108,파나소닉A6규격!$A:$C,3,FALSE),IFERROR(VLOOKUP(C108,파스텍EziServo규격!$A:$C,3,FALSE),""))</f>
        <v>0.3</v>
      </c>
      <c r="F108" s="17">
        <v>1</v>
      </c>
      <c r="G108" s="17">
        <v>1</v>
      </c>
      <c r="H108" s="17">
        <v>1</v>
      </c>
      <c r="I108" s="17">
        <v>1</v>
      </c>
      <c r="J108" s="19">
        <f t="shared" si="5"/>
        <v>0.21</v>
      </c>
      <c r="K108" s="17" t="s">
        <v>30</v>
      </c>
      <c r="L108" s="17"/>
      <c r="M108" s="17"/>
      <c r="N108" s="17"/>
      <c r="O108" s="17"/>
      <c r="P108" s="17"/>
      <c r="Q108" s="16"/>
    </row>
    <row r="109" spans="1:17" ht="17.100000000000001" customHeight="1" x14ac:dyDescent="0.3">
      <c r="A109" s="15" t="s">
        <v>91</v>
      </c>
      <c r="B109" s="16" t="s">
        <v>105</v>
      </c>
      <c r="C109" s="16" t="s">
        <v>29</v>
      </c>
      <c r="D109" s="17">
        <v>1000</v>
      </c>
      <c r="E109" s="18">
        <f>IFERROR(VLOOKUP(C109,파나소닉A6규격!$A:$C,3,FALSE),IFERROR(VLOOKUP(C109,파스텍EziServo규격!$A:$C,3,FALSE),""))</f>
        <v>3.4</v>
      </c>
      <c r="F109" s="17">
        <v>1</v>
      </c>
      <c r="G109" s="17">
        <v>1</v>
      </c>
      <c r="H109" s="17">
        <v>1</v>
      </c>
      <c r="I109" s="17">
        <v>1</v>
      </c>
      <c r="J109" s="19">
        <f t="shared" si="5"/>
        <v>2.38</v>
      </c>
      <c r="K109" s="17" t="s">
        <v>30</v>
      </c>
      <c r="L109" s="17"/>
      <c r="M109" s="17"/>
      <c r="N109" s="17"/>
      <c r="O109" s="17"/>
      <c r="P109" s="17"/>
      <c r="Q109" s="16"/>
    </row>
    <row r="110" spans="1:17" ht="17.100000000000001" customHeight="1" x14ac:dyDescent="0.3">
      <c r="A110" s="15" t="s">
        <v>91</v>
      </c>
      <c r="B110" s="16" t="s">
        <v>106</v>
      </c>
      <c r="C110" s="16" t="s">
        <v>32</v>
      </c>
      <c r="D110" s="17">
        <v>750</v>
      </c>
      <c r="E110" s="18">
        <f>IFERROR(VLOOKUP(C110,파나소닉A6규격!$A:$C,3,FALSE),IFERROR(VLOOKUP(C110,파스텍EziServo규격!$A:$C,3,FALSE),""))</f>
        <v>2.4</v>
      </c>
      <c r="F110" s="17">
        <v>1</v>
      </c>
      <c r="G110" s="17">
        <v>1</v>
      </c>
      <c r="H110" s="17">
        <v>1</v>
      </c>
      <c r="I110" s="17">
        <v>1</v>
      </c>
      <c r="J110" s="19">
        <f t="shared" si="5"/>
        <v>1.68</v>
      </c>
      <c r="K110" s="17" t="s">
        <v>30</v>
      </c>
      <c r="L110" s="17"/>
      <c r="M110" s="17"/>
      <c r="N110" s="17"/>
      <c r="O110" s="17"/>
      <c r="P110" s="17"/>
      <c r="Q110" s="16"/>
    </row>
    <row r="111" spans="1:17" ht="17.100000000000001" customHeight="1" x14ac:dyDescent="0.3">
      <c r="A111" s="15" t="s">
        <v>91</v>
      </c>
      <c r="B111" s="16" t="s">
        <v>107</v>
      </c>
      <c r="C111" s="16" t="s">
        <v>34</v>
      </c>
      <c r="D111" s="17">
        <v>50</v>
      </c>
      <c r="E111" s="18">
        <f>IFERROR(VLOOKUP(C111,파나소닉A6규격!$A:$C,3,FALSE),IFERROR(VLOOKUP(C111,파스텍EziServo규격!$A:$C,3,FALSE),""))</f>
        <v>0.3</v>
      </c>
      <c r="F111" s="17">
        <v>1</v>
      </c>
      <c r="G111" s="17">
        <v>1</v>
      </c>
      <c r="H111" s="17">
        <v>1</v>
      </c>
      <c r="I111" s="17">
        <v>1</v>
      </c>
      <c r="J111" s="19">
        <f t="shared" si="5"/>
        <v>0.21</v>
      </c>
      <c r="K111" s="17" t="s">
        <v>30</v>
      </c>
      <c r="L111" s="17"/>
      <c r="M111" s="17"/>
      <c r="N111" s="17"/>
      <c r="O111" s="17"/>
      <c r="P111" s="17"/>
      <c r="Q111" s="16"/>
    </row>
    <row r="112" spans="1:17" ht="17.100000000000001" customHeight="1" x14ac:dyDescent="0.3">
      <c r="A112" s="15" t="s">
        <v>91</v>
      </c>
      <c r="B112" s="16" t="s">
        <v>108</v>
      </c>
      <c r="C112" s="16" t="s">
        <v>34</v>
      </c>
      <c r="D112" s="17">
        <v>50</v>
      </c>
      <c r="E112" s="18">
        <f>IFERROR(VLOOKUP(C112,파나소닉A6규격!$A:$C,3,FALSE),IFERROR(VLOOKUP(C112,파스텍EziServo규격!$A:$C,3,FALSE),""))</f>
        <v>0.3</v>
      </c>
      <c r="F112" s="17">
        <v>1</v>
      </c>
      <c r="G112" s="17">
        <v>1</v>
      </c>
      <c r="H112" s="17">
        <v>1</v>
      </c>
      <c r="I112" s="17">
        <v>1</v>
      </c>
      <c r="J112" s="19">
        <f t="shared" si="5"/>
        <v>0.21</v>
      </c>
      <c r="K112" s="17" t="s">
        <v>30</v>
      </c>
      <c r="L112" s="17"/>
      <c r="M112" s="17"/>
      <c r="N112" s="17"/>
      <c r="O112" s="17"/>
      <c r="P112" s="17"/>
      <c r="Q112" s="16"/>
    </row>
    <row r="113" spans="1:17" ht="17.100000000000001" customHeight="1" x14ac:dyDescent="0.3">
      <c r="A113" s="37" t="s">
        <v>284</v>
      </c>
      <c r="B113" s="36"/>
      <c r="C113" s="36"/>
      <c r="D113" s="36"/>
      <c r="E113" s="10">
        <f>SUM(E96:E112)</f>
        <v>15.900000000000004</v>
      </c>
      <c r="F113" s="11"/>
      <c r="G113" s="11"/>
      <c r="H113" s="11"/>
      <c r="I113" s="11"/>
      <c r="J113" s="10">
        <f>SUM(J96:J112)</f>
        <v>11.130000000000003</v>
      </c>
      <c r="K113" s="11"/>
      <c r="L113" s="11"/>
      <c r="M113" s="11"/>
      <c r="N113" s="11"/>
      <c r="O113" s="12">
        <v>20</v>
      </c>
      <c r="P113" s="13" t="s">
        <v>47</v>
      </c>
      <c r="Q113" s="14" t="str">
        <f>J113&amp;"A×1.25="&amp;TEXT(J113*1.25,"0.00")&amp;"A → 20A 선정"</f>
        <v>11.13A×1.25=13.91A → 20A 선정</v>
      </c>
    </row>
    <row r="114" spans="1:17" ht="17.100000000000001" customHeight="1" x14ac:dyDescent="0.3">
      <c r="A114" s="69" t="s">
        <v>260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</row>
    <row r="115" spans="1:17" ht="17.100000000000001" customHeight="1" x14ac:dyDescent="0.3">
      <c r="A115" s="70" t="s">
        <v>91</v>
      </c>
      <c r="B115" s="31" t="s">
        <v>278</v>
      </c>
      <c r="C115" s="31" t="s">
        <v>201</v>
      </c>
      <c r="D115" s="30">
        <v>0</v>
      </c>
      <c r="E115" s="71" t="str">
        <f>IFERROR(VLOOKUP(C115,[1]파나소닉A6규격!$A:$C,3,FALSE),IFERROR(VLOOKUP(C115,[1]파스텍EziServo규격!$A:$C,3,FALSE),""))</f>
        <v/>
      </c>
      <c r="F115" s="30">
        <v>1</v>
      </c>
      <c r="G115" s="30">
        <v>0</v>
      </c>
      <c r="H115" s="30">
        <v>0</v>
      </c>
      <c r="I115" s="30">
        <v>0</v>
      </c>
      <c r="J115" s="71" t="str">
        <f t="shared" ref="J115:J120" si="6">IF(E115="","",E115*0.7)</f>
        <v/>
      </c>
      <c r="K115" s="30"/>
      <c r="L115" s="30" t="s">
        <v>30</v>
      </c>
      <c r="M115" s="30"/>
      <c r="N115" s="30"/>
      <c r="O115" s="30"/>
      <c r="P115" s="30"/>
      <c r="Q115" s="31"/>
    </row>
    <row r="116" spans="1:17" ht="17.100000000000001" customHeight="1" x14ac:dyDescent="0.3">
      <c r="A116" s="70" t="s">
        <v>91</v>
      </c>
      <c r="B116" s="31" t="s">
        <v>279</v>
      </c>
      <c r="C116" s="31" t="s">
        <v>201</v>
      </c>
      <c r="D116" s="30">
        <v>0</v>
      </c>
      <c r="E116" s="71" t="str">
        <f>IFERROR(VLOOKUP(C116,[1]파나소닉A6규격!$A:$C,3,FALSE),IFERROR(VLOOKUP(C116,[1]파스텍EziServo규격!$A:$C,3,FALSE),""))</f>
        <v/>
      </c>
      <c r="F116" s="30">
        <v>1</v>
      </c>
      <c r="G116" s="30">
        <v>0</v>
      </c>
      <c r="H116" s="30">
        <v>0</v>
      </c>
      <c r="I116" s="30">
        <v>0</v>
      </c>
      <c r="J116" s="71" t="str">
        <f t="shared" si="6"/>
        <v/>
      </c>
      <c r="K116" s="30"/>
      <c r="L116" s="30" t="s">
        <v>30</v>
      </c>
      <c r="M116" s="30"/>
      <c r="N116" s="30"/>
      <c r="O116" s="30"/>
      <c r="P116" s="30"/>
      <c r="Q116" s="31"/>
    </row>
    <row r="117" spans="1:17" ht="17.100000000000001" customHeight="1" x14ac:dyDescent="0.3">
      <c r="A117" s="70" t="s">
        <v>91</v>
      </c>
      <c r="B117" s="31" t="s">
        <v>280</v>
      </c>
      <c r="C117" s="31" t="s">
        <v>201</v>
      </c>
      <c r="D117" s="30">
        <v>0</v>
      </c>
      <c r="E117" s="71" t="str">
        <f>IFERROR(VLOOKUP(C117,[1]파나소닉A6규격!$A:$C,3,FALSE),IFERROR(VLOOKUP(C117,[1]파스텍EziServo규격!$A:$C,3,FALSE),""))</f>
        <v/>
      </c>
      <c r="F117" s="30">
        <v>1</v>
      </c>
      <c r="G117" s="30">
        <v>0</v>
      </c>
      <c r="H117" s="30">
        <v>0</v>
      </c>
      <c r="I117" s="30">
        <v>0</v>
      </c>
      <c r="J117" s="71" t="str">
        <f t="shared" si="6"/>
        <v/>
      </c>
      <c r="K117" s="30"/>
      <c r="L117" s="30" t="s">
        <v>30</v>
      </c>
      <c r="M117" s="30"/>
      <c r="N117" s="30"/>
      <c r="O117" s="30"/>
      <c r="P117" s="30"/>
      <c r="Q117" s="31"/>
    </row>
    <row r="118" spans="1:17" ht="17.100000000000001" customHeight="1" x14ac:dyDescent="0.3">
      <c r="A118" s="70" t="s">
        <v>91</v>
      </c>
      <c r="B118" s="31" t="s">
        <v>281</v>
      </c>
      <c r="C118" s="31" t="s">
        <v>201</v>
      </c>
      <c r="D118" s="30">
        <v>0</v>
      </c>
      <c r="E118" s="71" t="str">
        <f>IFERROR(VLOOKUP(C118,[1]파나소닉A6규격!$A:$C,3,FALSE),IFERROR(VLOOKUP(C118,[1]파스텍EziServo규격!$A:$C,3,FALSE),""))</f>
        <v/>
      </c>
      <c r="F118" s="30">
        <v>1</v>
      </c>
      <c r="G118" s="30">
        <v>0</v>
      </c>
      <c r="H118" s="30">
        <v>0</v>
      </c>
      <c r="I118" s="30">
        <v>0</v>
      </c>
      <c r="J118" s="71" t="str">
        <f t="shared" si="6"/>
        <v/>
      </c>
      <c r="K118" s="30"/>
      <c r="L118" s="30" t="s">
        <v>30</v>
      </c>
      <c r="M118" s="30"/>
      <c r="N118" s="30"/>
      <c r="O118" s="30"/>
      <c r="P118" s="30"/>
      <c r="Q118" s="31"/>
    </row>
    <row r="119" spans="1:17" ht="17.100000000000001" customHeight="1" x14ac:dyDescent="0.3">
      <c r="A119" s="70" t="s">
        <v>91</v>
      </c>
      <c r="B119" s="31" t="s">
        <v>282</v>
      </c>
      <c r="C119" s="31" t="s">
        <v>199</v>
      </c>
      <c r="D119" s="30">
        <v>0</v>
      </c>
      <c r="E119" s="71" t="str">
        <f>IFERROR(VLOOKUP(C119,[1]파나소닉A6규격!$A:$C,3,FALSE),IFERROR(VLOOKUP(C119,[1]파스텍EziServo규격!$A:$C,3,FALSE),""))</f>
        <v/>
      </c>
      <c r="F119" s="30">
        <v>1</v>
      </c>
      <c r="G119" s="30">
        <v>0</v>
      </c>
      <c r="H119" s="30">
        <v>0</v>
      </c>
      <c r="I119" s="30">
        <v>0</v>
      </c>
      <c r="J119" s="71" t="str">
        <f t="shared" si="6"/>
        <v/>
      </c>
      <c r="K119" s="30"/>
      <c r="L119" s="30" t="s">
        <v>30</v>
      </c>
      <c r="M119" s="30"/>
      <c r="N119" s="30"/>
      <c r="O119" s="30"/>
      <c r="P119" s="30"/>
      <c r="Q119" s="31"/>
    </row>
    <row r="120" spans="1:17" ht="17.100000000000001" customHeight="1" x14ac:dyDescent="0.3">
      <c r="A120" s="70" t="s">
        <v>91</v>
      </c>
      <c r="B120" s="31" t="s">
        <v>283</v>
      </c>
      <c r="C120" s="31" t="s">
        <v>199</v>
      </c>
      <c r="D120" s="30">
        <v>0</v>
      </c>
      <c r="E120" s="71" t="str">
        <f>IFERROR(VLOOKUP(C120,[1]파나소닉A6규격!$A:$C,3,FALSE),IFERROR(VLOOKUP(C120,[1]파스텍EziServo규격!$A:$C,3,FALSE),""))</f>
        <v/>
      </c>
      <c r="F120" s="30">
        <v>1</v>
      </c>
      <c r="G120" s="30">
        <v>0</v>
      </c>
      <c r="H120" s="30">
        <v>0</v>
      </c>
      <c r="I120" s="30">
        <v>0</v>
      </c>
      <c r="J120" s="71" t="str">
        <f t="shared" si="6"/>
        <v/>
      </c>
      <c r="K120" s="30"/>
      <c r="L120" s="30" t="s">
        <v>30</v>
      </c>
      <c r="M120" s="30"/>
      <c r="N120" s="30"/>
      <c r="O120" s="30"/>
      <c r="P120" s="30"/>
      <c r="Q120" s="31"/>
    </row>
    <row r="121" spans="1:17" ht="17.100000000000001" customHeight="1" x14ac:dyDescent="0.3">
      <c r="A121" s="37" t="s">
        <v>286</v>
      </c>
      <c r="B121" s="36"/>
      <c r="C121" s="36"/>
      <c r="D121" s="36"/>
      <c r="E121" s="10">
        <f>SUM(E104:E120)</f>
        <v>25.200000000000003</v>
      </c>
      <c r="F121" s="11"/>
      <c r="G121" s="11"/>
      <c r="H121" s="11"/>
      <c r="I121" s="11"/>
      <c r="J121" s="10">
        <f>SUM(J104:J120)</f>
        <v>17.64</v>
      </c>
      <c r="K121" s="11"/>
      <c r="L121" s="11"/>
      <c r="M121" s="11"/>
      <c r="N121" s="11"/>
      <c r="O121" s="12">
        <v>20</v>
      </c>
      <c r="P121" s="13" t="s">
        <v>47</v>
      </c>
      <c r="Q121" s="14" t="str">
        <f>J121&amp;"A×1.25="&amp;TEXT(J121*1.25,"0.00")&amp;"A → 20A 선정"</f>
        <v>17.64A×1.25=22.05A → 20A 선정</v>
      </c>
    </row>
    <row r="122" spans="1:17" ht="17.100000000000001" customHeight="1" x14ac:dyDescent="0.3"/>
    <row r="123" spans="1:17" ht="17.100000000000001" customHeight="1" x14ac:dyDescent="0.3">
      <c r="A123" s="72" t="s">
        <v>109</v>
      </c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</row>
    <row r="124" spans="1:17" ht="17.100000000000001" customHeight="1" x14ac:dyDescent="0.3">
      <c r="A124" s="20" t="s">
        <v>112</v>
      </c>
      <c r="B124" s="21" t="s">
        <v>113</v>
      </c>
      <c r="C124" s="21" t="s">
        <v>114</v>
      </c>
      <c r="D124" s="22">
        <v>0</v>
      </c>
      <c r="E124" s="22">
        <v>0.64</v>
      </c>
      <c r="F124" s="22">
        <v>1</v>
      </c>
      <c r="G124" s="22">
        <v>0</v>
      </c>
      <c r="H124" s="22">
        <v>0</v>
      </c>
      <c r="I124" s="22">
        <v>0</v>
      </c>
      <c r="J124" s="22">
        <v>0.64</v>
      </c>
      <c r="K124" s="22"/>
      <c r="L124" s="22"/>
      <c r="M124" s="22" t="s">
        <v>30</v>
      </c>
      <c r="N124" s="22"/>
      <c r="O124" s="22"/>
      <c r="P124" s="22"/>
      <c r="Q124" s="21" t="s">
        <v>115</v>
      </c>
    </row>
    <row r="125" spans="1:17" x14ac:dyDescent="0.3">
      <c r="A125" s="20" t="s">
        <v>112</v>
      </c>
      <c r="B125" s="21" t="s">
        <v>116</v>
      </c>
      <c r="C125" s="21" t="s">
        <v>117</v>
      </c>
      <c r="D125" s="22">
        <v>0</v>
      </c>
      <c r="E125" s="22">
        <v>9</v>
      </c>
      <c r="F125" s="22">
        <v>1</v>
      </c>
      <c r="G125" s="22">
        <v>0</v>
      </c>
      <c r="H125" s="22">
        <v>0</v>
      </c>
      <c r="I125" s="22">
        <v>0</v>
      </c>
      <c r="J125" s="22">
        <v>9</v>
      </c>
      <c r="K125" s="22"/>
      <c r="L125" s="22"/>
      <c r="M125" s="22" t="s">
        <v>30</v>
      </c>
      <c r="N125" s="22"/>
      <c r="O125" s="22"/>
      <c r="P125" s="22"/>
      <c r="Q125" s="21" t="s">
        <v>118</v>
      </c>
    </row>
    <row r="126" spans="1:17" ht="18" customHeight="1" x14ac:dyDescent="0.3">
      <c r="A126" s="20" t="s">
        <v>112</v>
      </c>
      <c r="B126" s="21" t="s">
        <v>119</v>
      </c>
      <c r="C126" s="21" t="s">
        <v>119</v>
      </c>
      <c r="D126" s="22">
        <v>0</v>
      </c>
      <c r="E126" s="22">
        <v>0.64</v>
      </c>
      <c r="F126" s="22">
        <v>1</v>
      </c>
      <c r="G126" s="22">
        <v>0</v>
      </c>
      <c r="H126" s="22">
        <v>0</v>
      </c>
      <c r="I126" s="22">
        <v>0</v>
      </c>
      <c r="J126" s="22">
        <v>0.64</v>
      </c>
      <c r="K126" s="22"/>
      <c r="L126" s="22"/>
      <c r="M126" s="22" t="s">
        <v>30</v>
      </c>
      <c r="N126" s="22"/>
      <c r="O126" s="22"/>
      <c r="P126" s="22"/>
      <c r="Q126" s="21" t="s">
        <v>120</v>
      </c>
    </row>
    <row r="127" spans="1:17" ht="17.100000000000001" customHeight="1" x14ac:dyDescent="0.3">
      <c r="A127" s="20" t="s">
        <v>112</v>
      </c>
      <c r="B127" s="21" t="s">
        <v>121</v>
      </c>
      <c r="C127" s="21" t="s">
        <v>121</v>
      </c>
      <c r="D127" s="22">
        <v>0</v>
      </c>
      <c r="E127" s="22">
        <v>0.06</v>
      </c>
      <c r="F127" s="22">
        <v>1</v>
      </c>
      <c r="G127" s="22">
        <v>0</v>
      </c>
      <c r="H127" s="22">
        <v>0</v>
      </c>
      <c r="I127" s="22">
        <v>0</v>
      </c>
      <c r="J127" s="22">
        <v>0.06</v>
      </c>
      <c r="K127" s="22"/>
      <c r="L127" s="22"/>
      <c r="M127" s="22" t="s">
        <v>30</v>
      </c>
      <c r="N127" s="22"/>
      <c r="O127" s="22"/>
      <c r="P127" s="22"/>
      <c r="Q127" s="21" t="s">
        <v>122</v>
      </c>
    </row>
    <row r="128" spans="1:17" ht="17.100000000000001" customHeight="1" x14ac:dyDescent="0.3">
      <c r="A128" s="20" t="s">
        <v>123</v>
      </c>
      <c r="B128" s="21" t="s">
        <v>124</v>
      </c>
      <c r="C128" s="21" t="s">
        <v>125</v>
      </c>
      <c r="D128" s="22">
        <v>0</v>
      </c>
      <c r="E128" s="22">
        <v>3</v>
      </c>
      <c r="F128" s="22">
        <v>1</v>
      </c>
      <c r="G128" s="22">
        <v>0</v>
      </c>
      <c r="H128" s="22">
        <v>0</v>
      </c>
      <c r="I128" s="22">
        <v>0</v>
      </c>
      <c r="J128" s="22">
        <v>3</v>
      </c>
      <c r="K128" s="22"/>
      <c r="L128" s="22"/>
      <c r="M128" s="22" t="s">
        <v>30</v>
      </c>
      <c r="N128" s="22"/>
      <c r="O128" s="22"/>
      <c r="P128" s="22"/>
      <c r="Q128" s="21" t="s">
        <v>126</v>
      </c>
    </row>
    <row r="129" spans="1:17" ht="17.100000000000001" customHeight="1" x14ac:dyDescent="0.3">
      <c r="A129" s="20" t="s">
        <v>123</v>
      </c>
      <c r="B129" s="21" t="s">
        <v>127</v>
      </c>
      <c r="C129" s="21" t="s">
        <v>128</v>
      </c>
      <c r="D129" s="22">
        <v>0</v>
      </c>
      <c r="E129" s="22">
        <v>2.34</v>
      </c>
      <c r="F129" s="22">
        <v>1</v>
      </c>
      <c r="G129" s="22">
        <v>0</v>
      </c>
      <c r="H129" s="22">
        <v>0</v>
      </c>
      <c r="I129" s="22">
        <v>0</v>
      </c>
      <c r="J129" s="22">
        <v>2.34</v>
      </c>
      <c r="K129" s="22"/>
      <c r="L129" s="22"/>
      <c r="M129" s="22" t="s">
        <v>30</v>
      </c>
      <c r="N129" s="22"/>
      <c r="O129" s="22"/>
      <c r="P129" s="22"/>
      <c r="Q129" s="21" t="s">
        <v>129</v>
      </c>
    </row>
    <row r="130" spans="1:17" ht="17.100000000000001" customHeight="1" x14ac:dyDescent="0.3">
      <c r="A130" s="20" t="s">
        <v>123</v>
      </c>
      <c r="B130" s="21" t="s">
        <v>130</v>
      </c>
      <c r="C130" s="21" t="s">
        <v>131</v>
      </c>
      <c r="D130" s="22">
        <v>0</v>
      </c>
      <c r="E130" s="22">
        <v>2.5</v>
      </c>
      <c r="F130" s="22">
        <v>1</v>
      </c>
      <c r="G130" s="22">
        <v>0</v>
      </c>
      <c r="H130" s="22">
        <v>0</v>
      </c>
      <c r="I130" s="22">
        <v>0</v>
      </c>
      <c r="J130" s="22">
        <v>2.5</v>
      </c>
      <c r="K130" s="22"/>
      <c r="L130" s="22"/>
      <c r="M130" s="22" t="s">
        <v>30</v>
      </c>
      <c r="N130" s="22"/>
      <c r="O130" s="22"/>
      <c r="P130" s="22"/>
      <c r="Q130" s="21" t="s">
        <v>132</v>
      </c>
    </row>
    <row r="131" spans="1:17" ht="17.100000000000001" customHeight="1" x14ac:dyDescent="0.3">
      <c r="A131" s="20" t="s">
        <v>123</v>
      </c>
      <c r="B131" s="21" t="s">
        <v>133</v>
      </c>
      <c r="C131" s="21" t="s">
        <v>134</v>
      </c>
      <c r="D131" s="22">
        <v>0</v>
      </c>
      <c r="E131" s="22">
        <v>5.4</v>
      </c>
      <c r="F131" s="22">
        <v>1</v>
      </c>
      <c r="G131" s="22">
        <v>0</v>
      </c>
      <c r="H131" s="22">
        <v>0</v>
      </c>
      <c r="I131" s="22">
        <v>0</v>
      </c>
      <c r="J131" s="22">
        <v>5.4</v>
      </c>
      <c r="K131" s="22"/>
      <c r="L131" s="22"/>
      <c r="M131" s="22" t="s">
        <v>30</v>
      </c>
      <c r="N131" s="22"/>
      <c r="O131" s="22"/>
      <c r="P131" s="22"/>
      <c r="Q131" s="21" t="s">
        <v>135</v>
      </c>
    </row>
    <row r="132" spans="1:17" ht="17.100000000000001" customHeight="1" x14ac:dyDescent="0.3">
      <c r="A132" s="20" t="s">
        <v>136</v>
      </c>
      <c r="B132" s="21" t="s">
        <v>137</v>
      </c>
      <c r="C132" s="21" t="s">
        <v>138</v>
      </c>
      <c r="D132" s="22">
        <v>0</v>
      </c>
      <c r="E132" s="22">
        <v>1</v>
      </c>
      <c r="F132" s="22">
        <v>1</v>
      </c>
      <c r="G132" s="22">
        <v>0</v>
      </c>
      <c r="H132" s="22">
        <v>0</v>
      </c>
      <c r="I132" s="22">
        <v>0</v>
      </c>
      <c r="J132" s="22">
        <v>1</v>
      </c>
      <c r="K132" s="22"/>
      <c r="L132" s="22"/>
      <c r="M132" s="22" t="s">
        <v>30</v>
      </c>
      <c r="N132" s="22"/>
      <c r="O132" s="22"/>
      <c r="P132" s="22"/>
      <c r="Q132" s="21" t="s">
        <v>139</v>
      </c>
    </row>
    <row r="133" spans="1:17" ht="17.100000000000001" customHeight="1" x14ac:dyDescent="0.3">
      <c r="A133" s="20" t="s">
        <v>136</v>
      </c>
      <c r="B133" s="21" t="s">
        <v>140</v>
      </c>
      <c r="C133" s="21" t="s">
        <v>138</v>
      </c>
      <c r="D133" s="22">
        <v>0</v>
      </c>
      <c r="E133" s="22">
        <v>1</v>
      </c>
      <c r="F133" s="22">
        <v>1</v>
      </c>
      <c r="G133" s="22">
        <v>0</v>
      </c>
      <c r="H133" s="22">
        <v>0</v>
      </c>
      <c r="I133" s="22">
        <v>0</v>
      </c>
      <c r="J133" s="22">
        <v>1</v>
      </c>
      <c r="K133" s="22"/>
      <c r="L133" s="22"/>
      <c r="M133" s="22" t="s">
        <v>30</v>
      </c>
      <c r="N133" s="22"/>
      <c r="O133" s="22"/>
      <c r="P133" s="22"/>
      <c r="Q133" s="21" t="s">
        <v>141</v>
      </c>
    </row>
    <row r="134" spans="1:17" ht="17.100000000000001" customHeight="1" x14ac:dyDescent="0.3">
      <c r="A134" s="20" t="s">
        <v>136</v>
      </c>
      <c r="B134" s="21" t="s">
        <v>142</v>
      </c>
      <c r="C134" s="21" t="s">
        <v>138</v>
      </c>
      <c r="D134" s="22">
        <v>0</v>
      </c>
      <c r="E134" s="22">
        <v>1</v>
      </c>
      <c r="F134" s="22">
        <v>1</v>
      </c>
      <c r="G134" s="22">
        <v>0</v>
      </c>
      <c r="H134" s="22">
        <v>0</v>
      </c>
      <c r="I134" s="22">
        <v>0</v>
      </c>
      <c r="J134" s="22">
        <v>1</v>
      </c>
      <c r="K134" s="22"/>
      <c r="L134" s="22"/>
      <c r="M134" s="22" t="s">
        <v>30</v>
      </c>
      <c r="N134" s="22"/>
      <c r="O134" s="22"/>
      <c r="P134" s="22"/>
      <c r="Q134" s="21" t="s">
        <v>143</v>
      </c>
    </row>
    <row r="135" spans="1:17" x14ac:dyDescent="0.3">
      <c r="A135" s="20" t="s">
        <v>136</v>
      </c>
      <c r="B135" s="21" t="s">
        <v>144</v>
      </c>
      <c r="C135" s="21" t="s">
        <v>138</v>
      </c>
      <c r="D135" s="22">
        <v>0</v>
      </c>
      <c r="E135" s="22">
        <v>1</v>
      </c>
      <c r="F135" s="22">
        <v>1</v>
      </c>
      <c r="G135" s="22">
        <v>0</v>
      </c>
      <c r="H135" s="22">
        <v>0</v>
      </c>
      <c r="I135" s="22">
        <v>0</v>
      </c>
      <c r="J135" s="22">
        <v>1</v>
      </c>
      <c r="K135" s="22"/>
      <c r="L135" s="22"/>
      <c r="M135" s="22" t="s">
        <v>30</v>
      </c>
      <c r="N135" s="22"/>
      <c r="O135" s="22"/>
      <c r="P135" s="22"/>
      <c r="Q135" s="21" t="s">
        <v>145</v>
      </c>
    </row>
    <row r="136" spans="1:17" ht="18" customHeight="1" x14ac:dyDescent="0.3">
      <c r="A136" s="20" t="s">
        <v>136</v>
      </c>
      <c r="B136" s="21" t="s">
        <v>146</v>
      </c>
      <c r="C136" s="21" t="s">
        <v>138</v>
      </c>
      <c r="D136" s="22">
        <v>0</v>
      </c>
      <c r="E136" s="22">
        <v>1</v>
      </c>
      <c r="F136" s="22">
        <v>1</v>
      </c>
      <c r="G136" s="22">
        <v>0</v>
      </c>
      <c r="H136" s="22">
        <v>0</v>
      </c>
      <c r="I136" s="22">
        <v>0</v>
      </c>
      <c r="J136" s="22">
        <v>1</v>
      </c>
      <c r="K136" s="22"/>
      <c r="L136" s="22"/>
      <c r="M136" s="22" t="s">
        <v>30</v>
      </c>
      <c r="N136" s="22"/>
      <c r="O136" s="22"/>
      <c r="P136" s="22"/>
      <c r="Q136" s="21" t="s">
        <v>147</v>
      </c>
    </row>
    <row r="137" spans="1:17" ht="20.100000000000001" customHeight="1" x14ac:dyDescent="0.3">
      <c r="A137" s="20" t="s">
        <v>136</v>
      </c>
      <c r="B137" s="21" t="s">
        <v>148</v>
      </c>
      <c r="C137" s="21" t="s">
        <v>138</v>
      </c>
      <c r="D137" s="22">
        <v>0</v>
      </c>
      <c r="E137" s="22">
        <v>1</v>
      </c>
      <c r="F137" s="22">
        <v>1</v>
      </c>
      <c r="G137" s="22">
        <v>0</v>
      </c>
      <c r="H137" s="22">
        <v>0</v>
      </c>
      <c r="I137" s="22">
        <v>0</v>
      </c>
      <c r="J137" s="22">
        <v>1</v>
      </c>
      <c r="K137" s="22"/>
      <c r="L137" s="22"/>
      <c r="M137" s="22" t="s">
        <v>30</v>
      </c>
      <c r="N137" s="22"/>
      <c r="O137" s="22"/>
      <c r="P137" s="22"/>
      <c r="Q137" s="21" t="s">
        <v>149</v>
      </c>
    </row>
    <row r="138" spans="1:17" ht="33.75" x14ac:dyDescent="0.3">
      <c r="A138" s="45" t="s">
        <v>150</v>
      </c>
      <c r="B138" s="36"/>
      <c r="C138" s="36"/>
      <c r="D138" s="36"/>
      <c r="E138" s="10">
        <f>SUM(E124:E137)</f>
        <v>29.58</v>
      </c>
      <c r="F138" s="11"/>
      <c r="G138" s="11"/>
      <c r="H138" s="11"/>
      <c r="I138" s="11"/>
      <c r="J138" s="10">
        <f>SUM(J124:J137)</f>
        <v>29.58</v>
      </c>
      <c r="K138" s="11"/>
      <c r="L138" s="11"/>
      <c r="M138" s="11"/>
      <c r="N138" s="11"/>
      <c r="O138" s="11"/>
      <c r="P138" s="11"/>
      <c r="Q138" s="23" t="s">
        <v>151</v>
      </c>
    </row>
    <row r="140" spans="1:17" x14ac:dyDescent="0.3">
      <c r="A140" s="38" t="s">
        <v>152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</row>
    <row r="141" spans="1:17" x14ac:dyDescent="0.3">
      <c r="A141" s="24" t="s">
        <v>153</v>
      </c>
      <c r="B141" s="25" t="s">
        <v>154</v>
      </c>
      <c r="C141" s="25" t="s">
        <v>155</v>
      </c>
      <c r="D141" s="26">
        <v>0</v>
      </c>
      <c r="E141" s="26">
        <v>1.5</v>
      </c>
      <c r="F141" s="26">
        <v>1</v>
      </c>
      <c r="G141" s="26">
        <v>0</v>
      </c>
      <c r="H141" s="26">
        <v>0</v>
      </c>
      <c r="I141" s="26">
        <v>0</v>
      </c>
      <c r="J141" s="26">
        <v>1.5</v>
      </c>
      <c r="K141" s="26"/>
      <c r="L141" s="26" t="s">
        <v>30</v>
      </c>
      <c r="M141" s="26"/>
      <c r="N141" s="26"/>
      <c r="O141" s="26"/>
      <c r="P141" s="26"/>
      <c r="Q141" s="25" t="s">
        <v>156</v>
      </c>
    </row>
    <row r="142" spans="1:17" x14ac:dyDescent="0.3">
      <c r="A142" s="24" t="s">
        <v>153</v>
      </c>
      <c r="B142" s="25" t="s">
        <v>157</v>
      </c>
      <c r="C142" s="25" t="s">
        <v>158</v>
      </c>
      <c r="D142" s="26">
        <v>0</v>
      </c>
      <c r="E142" s="26">
        <v>4.5</v>
      </c>
      <c r="F142" s="26">
        <v>1</v>
      </c>
      <c r="G142" s="26">
        <v>0</v>
      </c>
      <c r="H142" s="26">
        <v>0</v>
      </c>
      <c r="I142" s="26">
        <v>0</v>
      </c>
      <c r="J142" s="26">
        <v>4.5</v>
      </c>
      <c r="K142" s="26"/>
      <c r="L142" s="26" t="s">
        <v>30</v>
      </c>
      <c r="M142" s="26"/>
      <c r="N142" s="26"/>
      <c r="O142" s="26"/>
      <c r="P142" s="26"/>
      <c r="Q142" s="25" t="s">
        <v>159</v>
      </c>
    </row>
    <row r="143" spans="1:17" x14ac:dyDescent="0.3">
      <c r="A143" s="24" t="s">
        <v>153</v>
      </c>
      <c r="B143" s="25" t="s">
        <v>160</v>
      </c>
      <c r="C143" s="25" t="s">
        <v>161</v>
      </c>
      <c r="D143" s="26">
        <v>0</v>
      </c>
      <c r="E143" s="26">
        <v>5</v>
      </c>
      <c r="F143" s="26">
        <v>1</v>
      </c>
      <c r="G143" s="26">
        <v>0</v>
      </c>
      <c r="H143" s="26">
        <v>1</v>
      </c>
      <c r="I143" s="26">
        <v>0</v>
      </c>
      <c r="J143" s="26">
        <v>5</v>
      </c>
      <c r="K143" s="26"/>
      <c r="L143" s="26" t="s">
        <v>30</v>
      </c>
      <c r="M143" s="26"/>
      <c r="N143" s="26"/>
      <c r="O143" s="26"/>
      <c r="P143" s="26"/>
      <c r="Q143" s="25" t="s">
        <v>162</v>
      </c>
    </row>
    <row r="144" spans="1:17" x14ac:dyDescent="0.3">
      <c r="A144" s="24" t="s">
        <v>153</v>
      </c>
      <c r="B144" s="25" t="s">
        <v>163</v>
      </c>
      <c r="C144" s="25" t="s">
        <v>164</v>
      </c>
      <c r="D144" s="26">
        <v>0</v>
      </c>
      <c r="E144" s="26">
        <v>2.4</v>
      </c>
      <c r="F144" s="26">
        <v>1</v>
      </c>
      <c r="G144" s="26">
        <v>0</v>
      </c>
      <c r="H144" s="26">
        <v>0</v>
      </c>
      <c r="I144" s="26">
        <v>1</v>
      </c>
      <c r="J144" s="26">
        <v>2.4</v>
      </c>
      <c r="K144" s="26"/>
      <c r="L144" s="26" t="s">
        <v>30</v>
      </c>
      <c r="M144" s="26"/>
      <c r="N144" s="26"/>
      <c r="O144" s="26"/>
      <c r="P144" s="26"/>
      <c r="Q144" s="25" t="s">
        <v>165</v>
      </c>
    </row>
    <row r="145" spans="1:17" x14ac:dyDescent="0.3">
      <c r="A145" s="24" t="s">
        <v>153</v>
      </c>
      <c r="B145" s="25" t="s">
        <v>166</v>
      </c>
      <c r="C145" s="25" t="s">
        <v>167</v>
      </c>
      <c r="D145" s="26">
        <v>0</v>
      </c>
      <c r="E145" s="26">
        <v>1.2</v>
      </c>
      <c r="F145" s="26">
        <v>1</v>
      </c>
      <c r="G145" s="26">
        <v>1</v>
      </c>
      <c r="H145" s="26">
        <v>0</v>
      </c>
      <c r="I145" s="26">
        <v>0</v>
      </c>
      <c r="J145" s="26">
        <v>1.2</v>
      </c>
      <c r="K145" s="26"/>
      <c r="L145" s="26" t="s">
        <v>30</v>
      </c>
      <c r="M145" s="26"/>
      <c r="N145" s="26"/>
      <c r="O145" s="26"/>
      <c r="P145" s="26"/>
      <c r="Q145" s="25" t="s">
        <v>168</v>
      </c>
    </row>
    <row r="146" spans="1:17" x14ac:dyDescent="0.3">
      <c r="A146" s="24" t="s">
        <v>153</v>
      </c>
      <c r="B146" s="25" t="s">
        <v>169</v>
      </c>
      <c r="C146" s="25" t="s">
        <v>170</v>
      </c>
      <c r="D146" s="26">
        <v>0</v>
      </c>
      <c r="E146" s="26">
        <v>0</v>
      </c>
      <c r="F146" s="26">
        <v>1</v>
      </c>
      <c r="G146" s="26">
        <v>0</v>
      </c>
      <c r="H146" s="26">
        <v>0</v>
      </c>
      <c r="I146" s="26">
        <v>0</v>
      </c>
      <c r="J146" s="26">
        <v>0</v>
      </c>
      <c r="K146" s="26"/>
      <c r="L146" s="26" t="s">
        <v>30</v>
      </c>
      <c r="M146" s="26"/>
      <c r="N146" s="26"/>
      <c r="O146" s="26"/>
      <c r="P146" s="26"/>
      <c r="Q146" s="25" t="s">
        <v>171</v>
      </c>
    </row>
    <row r="147" spans="1:17" x14ac:dyDescent="0.3">
      <c r="A147" s="24" t="s">
        <v>153</v>
      </c>
      <c r="B147" s="25" t="s">
        <v>25</v>
      </c>
      <c r="C147" s="25" t="s">
        <v>170</v>
      </c>
      <c r="D147" s="26">
        <v>0</v>
      </c>
      <c r="E147" s="26">
        <v>0</v>
      </c>
      <c r="F147" s="26">
        <v>1</v>
      </c>
      <c r="G147" s="26">
        <v>0</v>
      </c>
      <c r="H147" s="26">
        <v>0</v>
      </c>
      <c r="I147" s="26">
        <v>0</v>
      </c>
      <c r="J147" s="26">
        <v>0</v>
      </c>
      <c r="K147" s="26"/>
      <c r="L147" s="26"/>
      <c r="M147" s="26"/>
      <c r="N147" s="26"/>
      <c r="O147" s="26"/>
      <c r="P147" s="26"/>
      <c r="Q147" s="25" t="s">
        <v>171</v>
      </c>
    </row>
    <row r="148" spans="1:17" ht="22.5" x14ac:dyDescent="0.3">
      <c r="A148" s="39" t="s">
        <v>172</v>
      </c>
      <c r="B148" s="36"/>
      <c r="C148" s="36"/>
      <c r="D148" s="36"/>
      <c r="E148" s="10">
        <f>SUM(E141:E147)</f>
        <v>14.6</v>
      </c>
      <c r="F148" s="11"/>
      <c r="G148" s="11"/>
      <c r="H148" s="11"/>
      <c r="I148" s="11"/>
      <c r="J148" s="10">
        <f>SUM(J141:J147)</f>
        <v>14.6</v>
      </c>
      <c r="K148" s="11"/>
      <c r="L148" s="11"/>
      <c r="M148" s="11"/>
      <c r="N148" s="11"/>
      <c r="O148" s="11"/>
      <c r="P148" s="11"/>
      <c r="Q148" s="23" t="s">
        <v>173</v>
      </c>
    </row>
    <row r="150" spans="1:17" x14ac:dyDescent="0.3">
      <c r="A150" s="44" t="s">
        <v>174</v>
      </c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</row>
    <row r="151" spans="1:17" ht="27" x14ac:dyDescent="0.3">
      <c r="A151" s="44" t="s">
        <v>175</v>
      </c>
      <c r="B151" s="36"/>
      <c r="C151" s="36"/>
      <c r="D151" s="36"/>
      <c r="E151" s="27">
        <f>E32+E55+E81+E113</f>
        <v>63.200000000000017</v>
      </c>
      <c r="F151" s="11"/>
      <c r="G151" s="11"/>
      <c r="H151" s="11"/>
      <c r="I151" s="11"/>
      <c r="J151" s="27">
        <f>J32+J55+J81+J113</f>
        <v>44.240000000000009</v>
      </c>
      <c r="K151" s="11"/>
      <c r="L151" s="11"/>
      <c r="M151" s="11"/>
      <c r="N151" s="11"/>
      <c r="O151" s="12" t="s">
        <v>176</v>
      </c>
      <c r="P151" s="13" t="s">
        <v>177</v>
      </c>
      <c r="Q151" s="14" t="str">
        <f>J151&amp;"A × 1.25 = "&amp;TEXT(J151*1.25,"0.00")&amp;"A → 메인 MCCB 선정"</f>
        <v>44.24A × 1.25 = 55.30A → 메인 MCCB 선정</v>
      </c>
    </row>
  </sheetData>
  <mergeCells count="103">
    <mergeCell ref="A114:Q114"/>
    <mergeCell ref="A121:D121"/>
    <mergeCell ref="K33:N33"/>
    <mergeCell ref="O33:O34"/>
    <mergeCell ref="P33:P34"/>
    <mergeCell ref="Q33:Q34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N83"/>
    <mergeCell ref="O83:O84"/>
    <mergeCell ref="F33:F34"/>
    <mergeCell ref="G33:G34"/>
    <mergeCell ref="H33:H34"/>
    <mergeCell ref="I33:I34"/>
    <mergeCell ref="J33:J34"/>
    <mergeCell ref="A33:A34"/>
    <mergeCell ref="B33:B34"/>
    <mergeCell ref="C33:C34"/>
    <mergeCell ref="D33:D34"/>
    <mergeCell ref="E33:E34"/>
    <mergeCell ref="K93:N93"/>
    <mergeCell ref="O93:O94"/>
    <mergeCell ref="P93:P94"/>
    <mergeCell ref="Q93:Q94"/>
    <mergeCell ref="A35:Q35"/>
    <mergeCell ref="P83:P84"/>
    <mergeCell ref="Q83:Q84"/>
    <mergeCell ref="A85:Q85"/>
    <mergeCell ref="F93:F94"/>
    <mergeCell ref="G93:G94"/>
    <mergeCell ref="H93:H94"/>
    <mergeCell ref="I93:I94"/>
    <mergeCell ref="J93:J94"/>
    <mergeCell ref="A93:A94"/>
    <mergeCell ref="B93:B94"/>
    <mergeCell ref="C93:C94"/>
    <mergeCell ref="D93:D94"/>
    <mergeCell ref="E93:E94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N57"/>
    <mergeCell ref="O57:O58"/>
    <mergeCell ref="P57:P58"/>
    <mergeCell ref="Q57:Q58"/>
    <mergeCell ref="A151:D151"/>
    <mergeCell ref="A41:Q41"/>
    <mergeCell ref="B16:B17"/>
    <mergeCell ref="A138:D138"/>
    <mergeCell ref="F16:F17"/>
    <mergeCell ref="H16:H17"/>
    <mergeCell ref="A95:Q95"/>
    <mergeCell ref="A59:Q59"/>
    <mergeCell ref="P16:P17"/>
    <mergeCell ref="A150:Q150"/>
    <mergeCell ref="A39:A40"/>
    <mergeCell ref="B39:B40"/>
    <mergeCell ref="C39:C40"/>
    <mergeCell ref="D39:D40"/>
    <mergeCell ref="E39:E40"/>
    <mergeCell ref="F39:F40"/>
    <mergeCell ref="A140:Q140"/>
    <mergeCell ref="A148:D148"/>
    <mergeCell ref="A1:Q1"/>
    <mergeCell ref="A18:Q18"/>
    <mergeCell ref="K16:N16"/>
    <mergeCell ref="Q16:Q17"/>
    <mergeCell ref="D16:D17"/>
    <mergeCell ref="J16:J17"/>
    <mergeCell ref="A81:D81"/>
    <mergeCell ref="A55:D55"/>
    <mergeCell ref="A16:A17"/>
    <mergeCell ref="G16:G17"/>
    <mergeCell ref="I16:I17"/>
    <mergeCell ref="A113:D113"/>
    <mergeCell ref="C16:C17"/>
    <mergeCell ref="E16:E17"/>
    <mergeCell ref="A32:D32"/>
    <mergeCell ref="O16:O17"/>
    <mergeCell ref="A123:Q123"/>
    <mergeCell ref="G39:G40"/>
    <mergeCell ref="H39:H40"/>
    <mergeCell ref="I39:I40"/>
    <mergeCell ref="J39:J40"/>
    <mergeCell ref="K39:N39"/>
    <mergeCell ref="O39:O40"/>
    <mergeCell ref="P39:P40"/>
    <mergeCell ref="Q39:Q40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N14" sqref="N14"/>
    </sheetView>
  </sheetViews>
  <sheetFormatPr defaultRowHeight="16.5" x14ac:dyDescent="0.3"/>
  <cols>
    <col min="1" max="1" width="18" customWidth="1"/>
    <col min="2" max="2" width="14" customWidth="1"/>
    <col min="3" max="3" width="20" customWidth="1"/>
    <col min="4" max="4" width="26" customWidth="1"/>
  </cols>
  <sheetData>
    <row r="1" spans="1:10" ht="21.95" customHeight="1" x14ac:dyDescent="0.3">
      <c r="A1" s="46" t="s">
        <v>178</v>
      </c>
      <c r="B1" s="36"/>
      <c r="C1" s="36"/>
      <c r="D1" s="36"/>
    </row>
    <row r="2" spans="1:10" ht="20.100000000000001" customHeight="1" x14ac:dyDescent="0.3">
      <c r="A2" s="3" t="s">
        <v>179</v>
      </c>
      <c r="B2" s="3" t="s">
        <v>180</v>
      </c>
      <c r="C2" s="3" t="s">
        <v>181</v>
      </c>
      <c r="D2" s="3" t="s">
        <v>21</v>
      </c>
    </row>
    <row r="3" spans="1:10" ht="15.95" customHeight="1" x14ac:dyDescent="0.3">
      <c r="A3" s="7" t="s">
        <v>34</v>
      </c>
      <c r="B3" s="7">
        <v>50</v>
      </c>
      <c r="C3" s="7">
        <v>0.3</v>
      </c>
      <c r="D3" s="6" t="s">
        <v>182</v>
      </c>
    </row>
    <row r="4" spans="1:10" ht="15.95" customHeight="1" x14ac:dyDescent="0.3">
      <c r="A4" s="28" t="s">
        <v>183</v>
      </c>
      <c r="B4" s="28">
        <v>100</v>
      </c>
      <c r="C4" s="28">
        <v>0.5</v>
      </c>
      <c r="D4" s="29" t="s">
        <v>184</v>
      </c>
    </row>
    <row r="5" spans="1:10" ht="15.95" customHeight="1" x14ac:dyDescent="0.3">
      <c r="A5" s="7" t="s">
        <v>57</v>
      </c>
      <c r="B5" s="7">
        <v>200</v>
      </c>
      <c r="C5" s="7">
        <v>1</v>
      </c>
      <c r="D5" s="6" t="s">
        <v>185</v>
      </c>
    </row>
    <row r="6" spans="1:10" ht="15.95" customHeight="1" x14ac:dyDescent="0.3">
      <c r="A6" s="28" t="s">
        <v>42</v>
      </c>
      <c r="B6" s="28">
        <v>400</v>
      </c>
      <c r="C6" s="28">
        <v>1.5</v>
      </c>
      <c r="D6" s="29" t="s">
        <v>186</v>
      </c>
    </row>
    <row r="7" spans="1:10" ht="15.95" customHeight="1" x14ac:dyDescent="0.3">
      <c r="A7" s="7" t="s">
        <v>32</v>
      </c>
      <c r="B7" s="7">
        <v>750</v>
      </c>
      <c r="C7" s="7">
        <v>2.4</v>
      </c>
      <c r="D7" s="6" t="s">
        <v>187</v>
      </c>
    </row>
    <row r="8" spans="1:10" ht="15.95" customHeight="1" x14ac:dyDescent="0.3">
      <c r="A8" s="28" t="s">
        <v>39</v>
      </c>
      <c r="B8" s="28">
        <v>750</v>
      </c>
      <c r="C8" s="28">
        <v>2.4</v>
      </c>
      <c r="D8" s="29" t="s">
        <v>188</v>
      </c>
    </row>
    <row r="9" spans="1:10" ht="15.95" customHeight="1" x14ac:dyDescent="0.3">
      <c r="A9" s="7" t="s">
        <v>29</v>
      </c>
      <c r="B9" s="7">
        <v>1000</v>
      </c>
      <c r="C9" s="7">
        <v>3.4</v>
      </c>
      <c r="D9" s="6" t="s">
        <v>189</v>
      </c>
    </row>
    <row r="10" spans="1:10" ht="15.95" customHeight="1" x14ac:dyDescent="0.3">
      <c r="A10" s="28" t="s">
        <v>190</v>
      </c>
      <c r="B10" s="28">
        <v>1000</v>
      </c>
      <c r="C10" s="28">
        <v>3.4</v>
      </c>
      <c r="D10" s="29" t="s">
        <v>191</v>
      </c>
    </row>
    <row r="11" spans="1:10" ht="15.95" customHeight="1" x14ac:dyDescent="0.3">
      <c r="A11" s="7" t="s">
        <v>192</v>
      </c>
      <c r="B11" s="7">
        <v>1500</v>
      </c>
      <c r="C11" s="7">
        <v>5.5</v>
      </c>
      <c r="D11" s="6" t="s">
        <v>193</v>
      </c>
    </row>
    <row r="13" spans="1:10" x14ac:dyDescent="0.3">
      <c r="A13" s="47" t="s">
        <v>194</v>
      </c>
      <c r="B13" s="36"/>
      <c r="C13" s="36"/>
      <c r="D13" s="36"/>
    </row>
    <row r="15" spans="1:10" x14ac:dyDescent="0.3">
      <c r="A15" s="74" t="s">
        <v>287</v>
      </c>
      <c r="B15" s="36"/>
      <c r="C15" s="36"/>
      <c r="D15" s="36"/>
      <c r="E15" s="36"/>
      <c r="F15" s="36"/>
      <c r="G15" s="36"/>
      <c r="H15" s="36"/>
      <c r="I15" s="36"/>
      <c r="J15" s="36"/>
    </row>
    <row r="16" spans="1:10" ht="24" x14ac:dyDescent="0.3">
      <c r="A16" s="3" t="s">
        <v>179</v>
      </c>
      <c r="B16" s="3" t="s">
        <v>288</v>
      </c>
      <c r="C16" s="3" t="s">
        <v>289</v>
      </c>
      <c r="D16" s="3" t="s">
        <v>290</v>
      </c>
      <c r="E16" s="3" t="s">
        <v>291</v>
      </c>
      <c r="F16" s="3" t="s">
        <v>292</v>
      </c>
      <c r="G16" s="3" t="s">
        <v>293</v>
      </c>
      <c r="H16" s="3" t="s">
        <v>294</v>
      </c>
      <c r="I16" s="3" t="s">
        <v>295</v>
      </c>
      <c r="J16" s="3" t="s">
        <v>21</v>
      </c>
    </row>
    <row r="17" spans="1:10" ht="24" x14ac:dyDescent="0.3">
      <c r="A17" s="6" t="s">
        <v>34</v>
      </c>
      <c r="B17" s="7" t="s">
        <v>296</v>
      </c>
      <c r="C17" s="7">
        <v>50</v>
      </c>
      <c r="D17" s="7" t="s">
        <v>297</v>
      </c>
      <c r="E17" s="7">
        <v>0.3</v>
      </c>
      <c r="F17" s="7">
        <v>0.8</v>
      </c>
      <c r="G17" s="7" t="s">
        <v>298</v>
      </c>
      <c r="H17" s="7" t="s">
        <v>299</v>
      </c>
      <c r="I17" s="7" t="s">
        <v>300</v>
      </c>
      <c r="J17" s="7"/>
    </row>
    <row r="18" spans="1:10" ht="24" x14ac:dyDescent="0.3">
      <c r="A18" s="29" t="s">
        <v>183</v>
      </c>
      <c r="B18" s="28" t="s">
        <v>301</v>
      </c>
      <c r="C18" s="28">
        <v>100</v>
      </c>
      <c r="D18" s="28" t="s">
        <v>297</v>
      </c>
      <c r="E18" s="28">
        <v>0.5</v>
      </c>
      <c r="F18" s="28">
        <v>1.2</v>
      </c>
      <c r="G18" s="28" t="s">
        <v>298</v>
      </c>
      <c r="H18" s="28" t="s">
        <v>299</v>
      </c>
      <c r="I18" s="28"/>
      <c r="J18" s="28"/>
    </row>
    <row r="19" spans="1:10" ht="24" x14ac:dyDescent="0.3">
      <c r="A19" s="6" t="s">
        <v>57</v>
      </c>
      <c r="B19" s="7" t="s">
        <v>302</v>
      </c>
      <c r="C19" s="7">
        <v>200</v>
      </c>
      <c r="D19" s="7" t="s">
        <v>297</v>
      </c>
      <c r="E19" s="7">
        <v>1</v>
      </c>
      <c r="F19" s="7">
        <v>2.4</v>
      </c>
      <c r="G19" s="7" t="s">
        <v>298</v>
      </c>
      <c r="H19" s="7" t="s">
        <v>299</v>
      </c>
      <c r="I19" s="7"/>
      <c r="J19" s="7"/>
    </row>
    <row r="20" spans="1:10" ht="24" x14ac:dyDescent="0.3">
      <c r="A20" s="29" t="s">
        <v>42</v>
      </c>
      <c r="B20" s="28" t="s">
        <v>303</v>
      </c>
      <c r="C20" s="28">
        <v>400</v>
      </c>
      <c r="D20" s="28" t="s">
        <v>297</v>
      </c>
      <c r="E20" s="28">
        <v>1.5</v>
      </c>
      <c r="F20" s="28">
        <v>4</v>
      </c>
      <c r="G20" s="28" t="s">
        <v>298</v>
      </c>
      <c r="H20" s="28" t="s">
        <v>299</v>
      </c>
      <c r="I20" s="28"/>
      <c r="J20" s="28"/>
    </row>
    <row r="21" spans="1:10" ht="24" x14ac:dyDescent="0.3">
      <c r="A21" s="6" t="s">
        <v>32</v>
      </c>
      <c r="B21" s="7" t="s">
        <v>304</v>
      </c>
      <c r="C21" s="7">
        <v>750</v>
      </c>
      <c r="D21" s="7" t="s">
        <v>297</v>
      </c>
      <c r="E21" s="7">
        <v>2.4</v>
      </c>
      <c r="F21" s="7">
        <v>7</v>
      </c>
      <c r="G21" s="7" t="s">
        <v>298</v>
      </c>
      <c r="H21" s="7" t="s">
        <v>299</v>
      </c>
      <c r="I21" s="7" t="s">
        <v>305</v>
      </c>
      <c r="J21" s="7"/>
    </row>
    <row r="22" spans="1:10" ht="24" x14ac:dyDescent="0.3">
      <c r="A22" s="29" t="s">
        <v>39</v>
      </c>
      <c r="B22" s="28" t="s">
        <v>304</v>
      </c>
      <c r="C22" s="28">
        <v>750</v>
      </c>
      <c r="D22" s="28" t="s">
        <v>297</v>
      </c>
      <c r="E22" s="28">
        <v>2.4</v>
      </c>
      <c r="F22" s="28">
        <v>7</v>
      </c>
      <c r="G22" s="28" t="s">
        <v>298</v>
      </c>
      <c r="H22" s="28" t="s">
        <v>299</v>
      </c>
      <c r="I22" s="28" t="s">
        <v>306</v>
      </c>
      <c r="J22" s="28"/>
    </row>
    <row r="23" spans="1:10" ht="24" x14ac:dyDescent="0.3">
      <c r="A23" s="6" t="s">
        <v>29</v>
      </c>
      <c r="B23" s="7" t="s">
        <v>307</v>
      </c>
      <c r="C23" s="7">
        <v>1000</v>
      </c>
      <c r="D23" s="7" t="s">
        <v>297</v>
      </c>
      <c r="E23" s="7">
        <v>3.4</v>
      </c>
      <c r="F23" s="7">
        <v>10</v>
      </c>
      <c r="G23" s="7" t="s">
        <v>298</v>
      </c>
      <c r="H23" s="7" t="s">
        <v>299</v>
      </c>
      <c r="I23" s="7" t="s">
        <v>308</v>
      </c>
      <c r="J23" s="7"/>
    </row>
    <row r="24" spans="1:10" ht="24" x14ac:dyDescent="0.3">
      <c r="A24" s="29" t="s">
        <v>192</v>
      </c>
      <c r="B24" s="28" t="s">
        <v>309</v>
      </c>
      <c r="C24" s="28">
        <v>1500</v>
      </c>
      <c r="D24" s="28" t="s">
        <v>297</v>
      </c>
      <c r="E24" s="28">
        <v>5.5</v>
      </c>
      <c r="F24" s="28">
        <v>15</v>
      </c>
      <c r="G24" s="28" t="s">
        <v>298</v>
      </c>
      <c r="H24" s="28" t="s">
        <v>299</v>
      </c>
      <c r="I24" s="28"/>
      <c r="J24" s="28"/>
    </row>
    <row r="25" spans="1:10" ht="24" x14ac:dyDescent="0.3">
      <c r="A25" s="6" t="s">
        <v>310</v>
      </c>
      <c r="B25" s="7" t="s">
        <v>311</v>
      </c>
      <c r="C25" s="7">
        <v>2000</v>
      </c>
      <c r="D25" s="7" t="s">
        <v>297</v>
      </c>
      <c r="E25" s="7">
        <v>7.5</v>
      </c>
      <c r="F25" s="7">
        <v>20</v>
      </c>
      <c r="G25" s="7" t="s">
        <v>298</v>
      </c>
      <c r="H25" s="7" t="s">
        <v>299</v>
      </c>
      <c r="I25" s="7"/>
      <c r="J25" s="7"/>
    </row>
    <row r="26" spans="1:10" ht="24" x14ac:dyDescent="0.3">
      <c r="A26" s="29" t="s">
        <v>312</v>
      </c>
      <c r="B26" s="28" t="s">
        <v>313</v>
      </c>
      <c r="C26" s="28">
        <v>3000</v>
      </c>
      <c r="D26" s="28" t="s">
        <v>297</v>
      </c>
      <c r="E26" s="28">
        <v>11</v>
      </c>
      <c r="F26" s="28">
        <v>30</v>
      </c>
      <c r="G26" s="28" t="s">
        <v>298</v>
      </c>
      <c r="H26" s="28" t="s">
        <v>299</v>
      </c>
      <c r="I26" s="28" t="s">
        <v>314</v>
      </c>
      <c r="J26" s="28"/>
    </row>
    <row r="28" spans="1:10" x14ac:dyDescent="0.3">
      <c r="A28" s="47" t="s">
        <v>315</v>
      </c>
      <c r="B28" s="36"/>
      <c r="C28" s="36"/>
      <c r="D28" s="36"/>
      <c r="E28" s="36"/>
      <c r="F28" s="36"/>
      <c r="G28" s="36"/>
      <c r="H28" s="36"/>
      <c r="I28" s="36"/>
      <c r="J28" s="36"/>
    </row>
  </sheetData>
  <mergeCells count="4">
    <mergeCell ref="A1:D1"/>
    <mergeCell ref="A13:D13"/>
    <mergeCell ref="A15:J15"/>
    <mergeCell ref="A28:J28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L12" sqref="L12"/>
    </sheetView>
  </sheetViews>
  <sheetFormatPr defaultRowHeight="16.5" x14ac:dyDescent="0.3"/>
  <cols>
    <col min="1" max="1" width="26" customWidth="1"/>
    <col min="2" max="2" width="16" customWidth="1"/>
    <col min="3" max="3" width="28" customWidth="1"/>
  </cols>
  <sheetData>
    <row r="1" spans="1:10" ht="21.95" customHeight="1" x14ac:dyDescent="0.3">
      <c r="A1" s="48" t="s">
        <v>195</v>
      </c>
      <c r="B1" s="36"/>
      <c r="C1" s="36"/>
    </row>
    <row r="2" spans="1:10" ht="18" customHeight="1" x14ac:dyDescent="0.3">
      <c r="A2" s="3" t="s">
        <v>179</v>
      </c>
      <c r="B2" s="3" t="s">
        <v>196</v>
      </c>
      <c r="C2" s="3" t="s">
        <v>21</v>
      </c>
    </row>
    <row r="3" spans="1:10" ht="15.95" customHeight="1" x14ac:dyDescent="0.3">
      <c r="A3" s="30" t="s">
        <v>110</v>
      </c>
      <c r="B3" s="30">
        <v>1.2</v>
      </c>
      <c r="C3" s="31" t="s">
        <v>197</v>
      </c>
    </row>
    <row r="4" spans="1:10" ht="15.95" customHeight="1" x14ac:dyDescent="0.3">
      <c r="A4" s="28" t="s">
        <v>111</v>
      </c>
      <c r="B4" s="28">
        <v>1.2</v>
      </c>
      <c r="C4" s="29" t="s">
        <v>198</v>
      </c>
    </row>
    <row r="5" spans="1:10" ht="15.95" customHeight="1" x14ac:dyDescent="0.3">
      <c r="A5" s="30" t="s">
        <v>199</v>
      </c>
      <c r="B5" s="30">
        <v>1.5</v>
      </c>
      <c r="C5" s="31" t="s">
        <v>200</v>
      </c>
    </row>
    <row r="6" spans="1:10" ht="15.95" customHeight="1" x14ac:dyDescent="0.3">
      <c r="A6" s="28" t="s">
        <v>201</v>
      </c>
      <c r="B6" s="28">
        <v>2</v>
      </c>
      <c r="C6" s="29" t="s">
        <v>202</v>
      </c>
    </row>
    <row r="7" spans="1:10" ht="15.95" customHeight="1" x14ac:dyDescent="0.3">
      <c r="A7" s="30" t="s">
        <v>138</v>
      </c>
      <c r="B7" s="30">
        <v>1</v>
      </c>
      <c r="C7" s="31" t="s">
        <v>203</v>
      </c>
    </row>
    <row r="9" spans="1:10" x14ac:dyDescent="0.3">
      <c r="A9" s="75" t="s">
        <v>316</v>
      </c>
      <c r="B9" s="36"/>
      <c r="C9" s="36"/>
      <c r="D9" s="36"/>
      <c r="E9" s="36"/>
      <c r="F9" s="36"/>
      <c r="G9" s="36"/>
      <c r="H9" s="36"/>
      <c r="I9" s="36"/>
      <c r="J9" s="36"/>
    </row>
    <row r="10" spans="1:10" ht="24" x14ac:dyDescent="0.3">
      <c r="A10" s="3" t="s">
        <v>179</v>
      </c>
      <c r="B10" s="3" t="s">
        <v>317</v>
      </c>
      <c r="C10" s="3" t="s">
        <v>318</v>
      </c>
      <c r="D10" s="3" t="s">
        <v>319</v>
      </c>
      <c r="E10" s="3" t="s">
        <v>320</v>
      </c>
      <c r="F10" s="3" t="s">
        <v>321</v>
      </c>
      <c r="G10" s="3" t="s">
        <v>288</v>
      </c>
      <c r="H10" s="3" t="s">
        <v>295</v>
      </c>
      <c r="I10" s="3" t="s">
        <v>21</v>
      </c>
      <c r="J10" s="3"/>
    </row>
    <row r="11" spans="1:10" ht="24" x14ac:dyDescent="0.3">
      <c r="A11" s="31" t="s">
        <v>322</v>
      </c>
      <c r="B11" s="30" t="s">
        <v>323</v>
      </c>
      <c r="C11" s="30">
        <v>4.2</v>
      </c>
      <c r="D11" s="30" t="s">
        <v>324</v>
      </c>
      <c r="E11" s="30" t="s">
        <v>325</v>
      </c>
      <c r="F11" s="30" t="s">
        <v>326</v>
      </c>
      <c r="G11" s="31" t="s">
        <v>327</v>
      </c>
      <c r="H11" s="31" t="s">
        <v>328</v>
      </c>
      <c r="I11" s="30"/>
    </row>
    <row r="12" spans="1:10" ht="24" x14ac:dyDescent="0.3">
      <c r="A12" s="29" t="s">
        <v>329</v>
      </c>
      <c r="B12" s="28" t="s">
        <v>330</v>
      </c>
      <c r="C12" s="28">
        <v>8</v>
      </c>
      <c r="D12" s="28" t="s">
        <v>324</v>
      </c>
      <c r="E12" s="28" t="s">
        <v>325</v>
      </c>
      <c r="F12" s="28" t="s">
        <v>331</v>
      </c>
      <c r="G12" s="29" t="s">
        <v>327</v>
      </c>
      <c r="H12" s="29" t="s">
        <v>332</v>
      </c>
      <c r="I12" s="28"/>
    </row>
    <row r="13" spans="1:10" ht="24" x14ac:dyDescent="0.3">
      <c r="A13" s="31" t="s">
        <v>333</v>
      </c>
      <c r="B13" s="30" t="s">
        <v>334</v>
      </c>
      <c r="C13" s="30">
        <v>2</v>
      </c>
      <c r="D13" s="30" t="s">
        <v>324</v>
      </c>
      <c r="E13" s="30" t="s">
        <v>335</v>
      </c>
      <c r="F13" s="30" t="s">
        <v>331</v>
      </c>
      <c r="G13" s="31" t="s">
        <v>327</v>
      </c>
      <c r="H13" s="31" t="s">
        <v>336</v>
      </c>
      <c r="I13" s="30"/>
    </row>
    <row r="14" spans="1:10" ht="24" x14ac:dyDescent="0.3">
      <c r="A14" s="29" t="s">
        <v>337</v>
      </c>
      <c r="B14" s="28" t="s">
        <v>334</v>
      </c>
      <c r="C14" s="28">
        <v>2</v>
      </c>
      <c r="D14" s="28" t="s">
        <v>324</v>
      </c>
      <c r="E14" s="28" t="s">
        <v>338</v>
      </c>
      <c r="F14" s="28" t="s">
        <v>331</v>
      </c>
      <c r="G14" s="29" t="s">
        <v>327</v>
      </c>
      <c r="H14" s="29" t="s">
        <v>339</v>
      </c>
      <c r="I14" s="28"/>
    </row>
    <row r="15" spans="1:10" ht="24" x14ac:dyDescent="0.3">
      <c r="A15" s="31" t="s">
        <v>340</v>
      </c>
      <c r="B15" s="30" t="s">
        <v>334</v>
      </c>
      <c r="C15" s="30">
        <v>4</v>
      </c>
      <c r="D15" s="30" t="s">
        <v>324</v>
      </c>
      <c r="E15" s="30" t="s">
        <v>335</v>
      </c>
      <c r="F15" s="30" t="s">
        <v>331</v>
      </c>
      <c r="G15" s="31" t="s">
        <v>327</v>
      </c>
      <c r="H15" s="31" t="s">
        <v>341</v>
      </c>
      <c r="I15" s="30"/>
    </row>
    <row r="16" spans="1:10" ht="24" x14ac:dyDescent="0.3">
      <c r="A16" s="29" t="s">
        <v>342</v>
      </c>
      <c r="B16" s="28" t="s">
        <v>343</v>
      </c>
      <c r="C16" s="28">
        <v>3</v>
      </c>
      <c r="D16" s="28" t="s">
        <v>344</v>
      </c>
      <c r="E16" s="28" t="s">
        <v>345</v>
      </c>
      <c r="F16" s="28" t="s">
        <v>346</v>
      </c>
      <c r="G16" s="29" t="s">
        <v>347</v>
      </c>
      <c r="H16" s="29" t="s">
        <v>348</v>
      </c>
      <c r="I16" s="28"/>
    </row>
    <row r="18" spans="1:10" x14ac:dyDescent="0.3">
      <c r="A18" s="47" t="s">
        <v>349</v>
      </c>
      <c r="B18" s="36"/>
      <c r="C18" s="36"/>
      <c r="D18" s="36"/>
      <c r="E18" s="36"/>
      <c r="F18" s="36"/>
      <c r="G18" s="36"/>
      <c r="H18" s="36"/>
      <c r="I18" s="36"/>
      <c r="J18" s="36"/>
    </row>
  </sheetData>
  <mergeCells count="3">
    <mergeCell ref="A1:C1"/>
    <mergeCell ref="A9:J9"/>
    <mergeCell ref="A18:J18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6.5" x14ac:dyDescent="0.3"/>
  <cols>
    <col min="1" max="1" width="14" customWidth="1"/>
    <col min="2" max="2" width="20" customWidth="1"/>
    <col min="3" max="3" width="12" customWidth="1"/>
    <col min="4" max="4" width="20" customWidth="1"/>
    <col min="5" max="5" width="22" customWidth="1"/>
  </cols>
  <sheetData>
    <row r="1" spans="1:5" ht="21.95" customHeight="1" x14ac:dyDescent="0.3">
      <c r="A1" s="49" t="s">
        <v>204</v>
      </c>
      <c r="B1" s="36"/>
      <c r="C1" s="36"/>
      <c r="D1" s="36"/>
      <c r="E1" s="36"/>
    </row>
    <row r="2" spans="1:5" ht="5.0999999999999996" customHeight="1" x14ac:dyDescent="0.3"/>
    <row r="3" spans="1:5" ht="27.95" customHeight="1" x14ac:dyDescent="0.3">
      <c r="A3" s="3" t="s">
        <v>196</v>
      </c>
      <c r="B3" s="3" t="s">
        <v>205</v>
      </c>
      <c r="C3" s="3" t="s">
        <v>206</v>
      </c>
      <c r="D3" s="3" t="s">
        <v>207</v>
      </c>
      <c r="E3" s="3" t="s">
        <v>21</v>
      </c>
    </row>
    <row r="4" spans="1:5" ht="15.95" customHeight="1" x14ac:dyDescent="0.3">
      <c r="A4" s="32">
        <v>3</v>
      </c>
      <c r="B4" s="33" t="s">
        <v>208</v>
      </c>
      <c r="C4" s="33" t="s">
        <v>209</v>
      </c>
      <c r="D4" s="33" t="s">
        <v>210</v>
      </c>
      <c r="E4" s="34" t="s">
        <v>211</v>
      </c>
    </row>
    <row r="5" spans="1:5" ht="15.95" customHeight="1" x14ac:dyDescent="0.3">
      <c r="A5" s="32">
        <v>5</v>
      </c>
      <c r="B5" s="33" t="s">
        <v>212</v>
      </c>
      <c r="C5" s="33" t="s">
        <v>209</v>
      </c>
      <c r="D5" s="33" t="s">
        <v>213</v>
      </c>
      <c r="E5" s="34" t="s">
        <v>214</v>
      </c>
    </row>
    <row r="6" spans="1:5" ht="15.95" customHeight="1" x14ac:dyDescent="0.3">
      <c r="A6" s="32">
        <v>10</v>
      </c>
      <c r="B6" s="33" t="s">
        <v>215</v>
      </c>
      <c r="C6" s="33" t="s">
        <v>209</v>
      </c>
      <c r="D6" s="33" t="s">
        <v>216</v>
      </c>
      <c r="E6" s="34" t="s">
        <v>217</v>
      </c>
    </row>
    <row r="7" spans="1:5" ht="15.95" customHeight="1" x14ac:dyDescent="0.3">
      <c r="A7" s="32">
        <v>15</v>
      </c>
      <c r="B7" s="33" t="s">
        <v>218</v>
      </c>
      <c r="C7" s="33" t="s">
        <v>209</v>
      </c>
      <c r="D7" s="33" t="s">
        <v>219</v>
      </c>
      <c r="E7" s="34" t="s">
        <v>220</v>
      </c>
    </row>
    <row r="8" spans="1:5" ht="15.95" customHeight="1" x14ac:dyDescent="0.3">
      <c r="A8" s="32">
        <v>20</v>
      </c>
      <c r="B8" s="33" t="s">
        <v>221</v>
      </c>
      <c r="C8" s="33" t="s">
        <v>209</v>
      </c>
      <c r="D8" s="33" t="s">
        <v>222</v>
      </c>
      <c r="E8" s="34" t="s">
        <v>223</v>
      </c>
    </row>
    <row r="9" spans="1:5" ht="15.95" customHeight="1" x14ac:dyDescent="0.3">
      <c r="A9" s="32">
        <v>25</v>
      </c>
      <c r="B9" s="33" t="s">
        <v>224</v>
      </c>
      <c r="C9" s="33" t="s">
        <v>209</v>
      </c>
      <c r="D9" s="33" t="s">
        <v>225</v>
      </c>
      <c r="E9" s="34"/>
    </row>
    <row r="10" spans="1:5" ht="15.95" customHeight="1" x14ac:dyDescent="0.3">
      <c r="A10" s="32">
        <v>30</v>
      </c>
      <c r="B10" s="33" t="s">
        <v>226</v>
      </c>
      <c r="C10" s="33" t="s">
        <v>209</v>
      </c>
      <c r="D10" s="33" t="s">
        <v>227</v>
      </c>
      <c r="E10" s="34" t="s">
        <v>228</v>
      </c>
    </row>
    <row r="11" spans="1:5" ht="15.95" customHeight="1" x14ac:dyDescent="0.3">
      <c r="A11" s="32">
        <v>40</v>
      </c>
      <c r="B11" s="33" t="s">
        <v>229</v>
      </c>
      <c r="C11" s="33" t="s">
        <v>209</v>
      </c>
      <c r="D11" s="33" t="s">
        <v>230</v>
      </c>
      <c r="E11" s="34"/>
    </row>
    <row r="12" spans="1:5" ht="15.95" customHeight="1" x14ac:dyDescent="0.3">
      <c r="A12" s="32">
        <v>50</v>
      </c>
      <c r="B12" s="33" t="s">
        <v>231</v>
      </c>
      <c r="C12" s="33" t="s">
        <v>209</v>
      </c>
      <c r="D12" s="33" t="s">
        <v>232</v>
      </c>
      <c r="E12" s="34"/>
    </row>
    <row r="13" spans="1:5" ht="15.95" customHeight="1" x14ac:dyDescent="0.3">
      <c r="A13" s="32">
        <v>63</v>
      </c>
      <c r="B13" s="33" t="s">
        <v>233</v>
      </c>
      <c r="C13" s="33" t="s">
        <v>209</v>
      </c>
      <c r="D13" s="33" t="s">
        <v>234</v>
      </c>
      <c r="E13" s="34" t="s">
        <v>235</v>
      </c>
    </row>
    <row r="14" spans="1:5" ht="15.95" customHeight="1" x14ac:dyDescent="0.3">
      <c r="A14" s="32">
        <v>75</v>
      </c>
      <c r="B14" s="33" t="s">
        <v>236</v>
      </c>
      <c r="C14" s="33" t="s">
        <v>209</v>
      </c>
      <c r="D14" s="33" t="s">
        <v>237</v>
      </c>
      <c r="E14" s="34" t="s">
        <v>238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판넬별 차단기 선정표</vt:lpstr>
      <vt:lpstr>파나소닉A6규격</vt:lpstr>
      <vt:lpstr>파스텍EziServo규격</vt:lpstr>
      <vt:lpstr>차단기 규격 참조표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건승 지</cp:lastModifiedBy>
  <dcterms:created xsi:type="dcterms:W3CDTF">2026-04-03T08:18:34Z</dcterms:created>
  <dcterms:modified xsi:type="dcterms:W3CDTF">2026-04-03T08:31:13Z</dcterms:modified>
</cp:coreProperties>
</file>