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xr:revisionPtr revIDLastSave="0" documentId="8_{8A62B962-13E1-4DC7-AD0F-B628BDB5711A}" xr6:coauthVersionLast="47" xr6:coauthVersionMax="47" xr10:uidLastSave="{00000000-0000-0000-0000-000000000000}"/>
  <bookViews>
    <workbookView xWindow="17880" yWindow="-120" windowWidth="29040" windowHeight="15720" xr2:uid="{00000000-000D-0000-FFFF-FFFF00000000}"/>
  </bookViews>
  <sheets>
    <sheet name="전류·용량 계산표" sheetId="1" r:id="rId1"/>
    <sheet name="파나소닉A6규격" sheetId="2" r:id="rId2"/>
    <sheet name="파스텍EziServo규격" sheetId="3" r:id="rId3"/>
    <sheet name="차단기 규격 참조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" l="1"/>
  <c r="E114" i="1"/>
  <c r="J107" i="1"/>
  <c r="E107" i="1"/>
  <c r="E98" i="1"/>
  <c r="J98" i="1" s="1"/>
  <c r="E97" i="1"/>
  <c r="J97" i="1" s="1"/>
  <c r="E96" i="1"/>
  <c r="J96" i="1" s="1"/>
  <c r="E95" i="1"/>
  <c r="J95" i="1" s="1"/>
  <c r="E94" i="1"/>
  <c r="J94" i="1" s="1"/>
  <c r="E93" i="1"/>
  <c r="J93" i="1" s="1"/>
  <c r="E92" i="1"/>
  <c r="J92" i="1" s="1"/>
  <c r="E91" i="1"/>
  <c r="J91" i="1" s="1"/>
  <c r="E90" i="1"/>
  <c r="J90" i="1" s="1"/>
  <c r="E89" i="1"/>
  <c r="J89" i="1" s="1"/>
  <c r="E88" i="1"/>
  <c r="J88" i="1" s="1"/>
  <c r="E87" i="1"/>
  <c r="E86" i="1"/>
  <c r="J86" i="1" s="1"/>
  <c r="E85" i="1"/>
  <c r="J85" i="1" s="1"/>
  <c r="E81" i="1"/>
  <c r="J81" i="1" s="1"/>
  <c r="E80" i="1"/>
  <c r="J80" i="1" s="1"/>
  <c r="E79" i="1"/>
  <c r="J79" i="1" s="1"/>
  <c r="E78" i="1"/>
  <c r="J78" i="1" s="1"/>
  <c r="E77" i="1"/>
  <c r="J77" i="1" s="1"/>
  <c r="E76" i="1"/>
  <c r="J76" i="1" s="1"/>
  <c r="E75" i="1"/>
  <c r="J75" i="1" s="1"/>
  <c r="E74" i="1"/>
  <c r="J74" i="1" s="1"/>
  <c r="E73" i="1"/>
  <c r="J73" i="1" s="1"/>
  <c r="E72" i="1"/>
  <c r="J72" i="1" s="1"/>
  <c r="E71" i="1"/>
  <c r="J71" i="1" s="1"/>
  <c r="E70" i="1"/>
  <c r="J70" i="1" s="1"/>
  <c r="E69" i="1"/>
  <c r="J69" i="1" s="1"/>
  <c r="E68" i="1"/>
  <c r="J68" i="1" s="1"/>
  <c r="E67" i="1"/>
  <c r="J67" i="1" s="1"/>
  <c r="E66" i="1"/>
  <c r="J66" i="1" s="1"/>
  <c r="E65" i="1"/>
  <c r="J65" i="1" s="1"/>
  <c r="E64" i="1"/>
  <c r="J64" i="1" s="1"/>
  <c r="E63" i="1"/>
  <c r="J63" i="1" s="1"/>
  <c r="E62" i="1"/>
  <c r="J62" i="1" s="1"/>
  <c r="E61" i="1"/>
  <c r="J61" i="1" s="1"/>
  <c r="E60" i="1"/>
  <c r="J60" i="1" s="1"/>
  <c r="E59" i="1"/>
  <c r="J59" i="1" s="1"/>
  <c r="E58" i="1"/>
  <c r="J58" i="1" s="1"/>
  <c r="E57" i="1"/>
  <c r="J57" i="1" s="1"/>
  <c r="E56" i="1"/>
  <c r="J56" i="1" s="1"/>
  <c r="E55" i="1"/>
  <c r="J55" i="1" s="1"/>
  <c r="E54" i="1"/>
  <c r="J54" i="1" s="1"/>
  <c r="E53" i="1"/>
  <c r="J53" i="1" s="1"/>
  <c r="E52" i="1"/>
  <c r="J52" i="1" s="1"/>
  <c r="E51" i="1"/>
  <c r="J51" i="1" s="1"/>
  <c r="E50" i="1"/>
  <c r="J50" i="1" s="1"/>
  <c r="E49" i="1"/>
  <c r="J49" i="1" s="1"/>
  <c r="E48" i="1"/>
  <c r="J48" i="1" s="1"/>
  <c r="E47" i="1"/>
  <c r="J47" i="1" s="1"/>
  <c r="E46" i="1"/>
  <c r="J46" i="1" s="1"/>
  <c r="E45" i="1"/>
  <c r="J45" i="1" s="1"/>
  <c r="E44" i="1"/>
  <c r="J44" i="1" s="1"/>
  <c r="E43" i="1"/>
  <c r="J43" i="1" s="1"/>
  <c r="E42" i="1"/>
  <c r="J42" i="1" s="1"/>
  <c r="E41" i="1"/>
  <c r="J41" i="1" s="1"/>
  <c r="E40" i="1"/>
  <c r="J40" i="1" s="1"/>
  <c r="E39" i="1"/>
  <c r="J39" i="1" s="1"/>
  <c r="E38" i="1"/>
  <c r="J38" i="1" s="1"/>
  <c r="E37" i="1"/>
  <c r="J37" i="1" s="1"/>
  <c r="E36" i="1"/>
  <c r="J36" i="1" s="1"/>
  <c r="E35" i="1"/>
  <c r="J35" i="1" s="1"/>
  <c r="E34" i="1"/>
  <c r="J34" i="1" s="1"/>
  <c r="E33" i="1"/>
  <c r="J33" i="1" s="1"/>
  <c r="E32" i="1"/>
  <c r="J32" i="1" s="1"/>
  <c r="E31" i="1"/>
  <c r="J31" i="1" s="1"/>
  <c r="E30" i="1"/>
  <c r="J30" i="1" s="1"/>
  <c r="E29" i="1"/>
  <c r="J29" i="1" s="1"/>
  <c r="E28" i="1"/>
  <c r="J28" i="1" s="1"/>
  <c r="E27" i="1"/>
  <c r="J27" i="1" s="1"/>
  <c r="E26" i="1"/>
  <c r="J26" i="1" s="1"/>
  <c r="E25" i="1"/>
  <c r="J25" i="1" s="1"/>
  <c r="E24" i="1"/>
  <c r="J24" i="1" s="1"/>
  <c r="E23" i="1"/>
  <c r="J23" i="1" s="1"/>
  <c r="E22" i="1"/>
  <c r="J22" i="1" s="1"/>
  <c r="E21" i="1"/>
  <c r="J21" i="1" s="1"/>
  <c r="E20" i="1"/>
  <c r="J20" i="1" s="1"/>
  <c r="E19" i="1"/>
  <c r="J19" i="1" s="1"/>
  <c r="E18" i="1"/>
  <c r="J18" i="1" s="1"/>
  <c r="B7" i="1"/>
  <c r="C7" i="1" s="1"/>
  <c r="B6" i="1"/>
  <c r="C6" i="1" s="1"/>
  <c r="E99" i="1" l="1"/>
  <c r="B5" i="1" s="1"/>
  <c r="C5" i="1" s="1"/>
  <c r="J82" i="1"/>
  <c r="J87" i="1"/>
  <c r="J99" i="1" s="1"/>
  <c r="E82" i="1"/>
  <c r="B4" i="1" l="1"/>
  <c r="C4" i="1" s="1"/>
  <c r="E117" i="1"/>
  <c r="F117" i="1" s="1"/>
</calcChain>
</file>

<file path=xl/sharedStrings.xml><?xml version="1.0" encoding="utf-8"?>
<sst xmlns="http://schemas.openxmlformats.org/spreadsheetml/2006/main" count="681" uniqueCount="352">
  <si>
    <t>대구텍 검사기 F2 #1 — 전류·용량 계산 및 차단기 선정 종합표</t>
  </si>
  <si>
    <t>▶ 전체 부하 요약 (상단 자동계산)</t>
  </si>
  <si>
    <t>구분</t>
  </si>
  <si>
    <t>총 정격전류 (A)</t>
  </si>
  <si>
    <t>안전계수 ×1.25</t>
  </si>
  <si>
    <t>권장 차단기 (A)</t>
  </si>
  <si>
    <t>총 부하 (kVA)</t>
  </si>
  <si>
    <t>비고</t>
  </si>
  <si>
    <t>→ Sheet4 참조</t>
  </si>
  <si>
    <t>→ 하단 계산</t>
  </si>
  <si>
    <t>▶ R/S/T 상별 전류 편중 분석</t>
  </si>
  <si>
    <t>R상 (A)</t>
  </si>
  <si>
    <t>S상 (A)</t>
  </si>
  <si>
    <t>T상 (A)</t>
  </si>
  <si>
    <t>최대-최소 (A)</t>
  </si>
  <si>
    <t>불균형률 (%)</t>
  </si>
  <si>
    <t>판정</t>
  </si>
  <si>
    <t>AC 3상 서보드라이버</t>
  </si>
  <si>
    <t>AC 3상 기타</t>
  </si>
  <si>
    <t>전체 합계</t>
  </si>
  <si>
    <t>판넬</t>
  </si>
  <si>
    <t>축/유닛명</t>
  </si>
  <si>
    <t>드라이버/장치 모델</t>
  </si>
  <si>
    <t>출력
(W)</t>
  </si>
  <si>
    <t>정격전류
(A)</t>
  </si>
  <si>
    <t>상수</t>
  </si>
  <si>
    <t>R상
할당</t>
  </si>
  <si>
    <t>S상
할당</t>
  </si>
  <si>
    <t>T상
할당</t>
  </si>
  <si>
    <t>운전전류
(A)</t>
  </si>
  <si>
    <t>전원 구분 (체크)</t>
  </si>
  <si>
    <t>차단기
선정 (A)</t>
  </si>
  <si>
    <t>제조사/
모델</t>
  </si>
  <si>
    <t>비고 / 수식 설명</t>
  </si>
  <si>
    <t>AC 3상
220V</t>
  </si>
  <si>
    <t>AC 단상
220V</t>
  </si>
  <si>
    <t>DC 24V</t>
  </si>
  <si>
    <t>기타</t>
  </si>
  <si>
    <t>■ 파나소닉 A6 서보드라이버 (AC 3상 220V) — 대구텍 F2 #1</t>
  </si>
  <si>
    <t>판넬1</t>
  </si>
  <si>
    <t>LO_Y1</t>
  </si>
  <si>
    <t>MDDLN55BL</t>
  </si>
  <si>
    <t>●</t>
  </si>
  <si>
    <t>LO 로딩 Y축</t>
  </si>
  <si>
    <t>LO_X1</t>
  </si>
  <si>
    <t>MCDLN35BL</t>
  </si>
  <si>
    <t>LO 로딩 X축</t>
  </si>
  <si>
    <t>LO_Z1</t>
  </si>
  <si>
    <t>MADLN05BE</t>
  </si>
  <si>
    <t>LO 로딩 Z축</t>
  </si>
  <si>
    <t>ULO_Y1</t>
  </si>
  <si>
    <t>ULO 언로딩 Y축</t>
  </si>
  <si>
    <t>ULO_X1</t>
  </si>
  <si>
    <t>ULO 언로딩 X축</t>
  </si>
  <si>
    <t>ULO_Z1</t>
  </si>
  <si>
    <t>ULO 언로딩 Z축</t>
  </si>
  <si>
    <t>NG_EV</t>
  </si>
  <si>
    <t>MCDLN35BE</t>
  </si>
  <si>
    <t>NG 이젝터 (Brake 내장)</t>
  </si>
  <si>
    <t>NG_FD</t>
  </si>
  <si>
    <t>NG 피더</t>
  </si>
  <si>
    <t>NG_FD_Z</t>
  </si>
  <si>
    <t>MBDLN25BE</t>
  </si>
  <si>
    <t>NG 피더 Z축</t>
  </si>
  <si>
    <t>NG_FD_ALIGN</t>
  </si>
  <si>
    <t>NG 정렬</t>
  </si>
  <si>
    <t>NG_FD_INDEX</t>
  </si>
  <si>
    <t>NG 인덱스</t>
  </si>
  <si>
    <t>JIG_ULO_Y</t>
  </si>
  <si>
    <t>JIG 언로딩 Y</t>
  </si>
  <si>
    <t>JIG_ULO_Z</t>
  </si>
  <si>
    <t>JIG 언로딩 Z</t>
  </si>
  <si>
    <t>판넬2</t>
  </si>
  <si>
    <t>GOOD_EV</t>
  </si>
  <si>
    <t>GOOD 이젝터</t>
  </si>
  <si>
    <t>GOOD_FD</t>
  </si>
  <si>
    <t>GOOD 피더</t>
  </si>
  <si>
    <t>GOOD_FD_Z</t>
  </si>
  <si>
    <t>GOOD 피더 Z축</t>
  </si>
  <si>
    <t>GOOD_FD_ALIGN</t>
  </si>
  <si>
    <t>GOOD 정렬</t>
  </si>
  <si>
    <t>GOOD_FD_INDEX</t>
  </si>
  <si>
    <t>GOOD 인덱스</t>
  </si>
  <si>
    <t>TURN_Y</t>
  </si>
  <si>
    <t>턴테이블 Y</t>
  </si>
  <si>
    <t>TURN_GRIPPER_Y1</t>
  </si>
  <si>
    <t>MADLN15BE</t>
  </si>
  <si>
    <t>그리퍼1 Y</t>
  </si>
  <si>
    <t>TURN_GRIPPER_X1</t>
  </si>
  <si>
    <t>그리퍼1 X ← 모델 확인 필요</t>
  </si>
  <si>
    <t>TURN_GRIPPER_Z1</t>
  </si>
  <si>
    <t>그리퍼1 Z ← 모델 확인 필요</t>
  </si>
  <si>
    <t>TURN_GRIPPER_Y2</t>
  </si>
  <si>
    <t>그리퍼2 Y</t>
  </si>
  <si>
    <t>TURN_GRIPPER_X2</t>
  </si>
  <si>
    <t>그리퍼2 X ← 모델 확인 필요</t>
  </si>
  <si>
    <t>TURN_GRIPPER_Z2</t>
  </si>
  <si>
    <t>그리퍼2 Z ← 모델 확인 필요</t>
  </si>
  <si>
    <t>BOT_MAC_Y</t>
  </si>
  <si>
    <t>하단 매크로 Y</t>
  </si>
  <si>
    <t>판넬3</t>
  </si>
  <si>
    <t>BOT_MAC_X</t>
  </si>
  <si>
    <t>← 모델 확인 필요</t>
  </si>
  <si>
    <t>BOT_MAC_Z</t>
  </si>
  <si>
    <t>BOT_MIC_Y</t>
  </si>
  <si>
    <t>BOT_MIC_X</t>
  </si>
  <si>
    <t>BOT_MIC_Z</t>
  </si>
  <si>
    <t>LO_ATC_X</t>
  </si>
  <si>
    <t>ATC 로딩 X</t>
  </si>
  <si>
    <t>LO_ATC_Z</t>
  </si>
  <si>
    <t>ATC 로딩 Z</t>
  </si>
  <si>
    <t>SIDE_X1</t>
  </si>
  <si>
    <t>SIDE_Y1</t>
  </si>
  <si>
    <t>SIDE_T1</t>
  </si>
  <si>
    <t>SIDE_X2</t>
  </si>
  <si>
    <t>SIDE_Y2</t>
  </si>
  <si>
    <t>SIDE_T2</t>
  </si>
  <si>
    <t>SIDE_X3</t>
  </si>
  <si>
    <t>SIDE_Y3</t>
  </si>
  <si>
    <t>SIDE_T3</t>
  </si>
  <si>
    <t>LO_EV</t>
  </si>
  <si>
    <t>LO 이젝터</t>
  </si>
  <si>
    <t>LO_FD</t>
  </si>
  <si>
    <t>LO_FD_Z</t>
  </si>
  <si>
    <t>LO_FD_ALIGN</t>
  </si>
  <si>
    <t>LO_FD_INDEX</t>
  </si>
  <si>
    <t>판넬4</t>
  </si>
  <si>
    <t>TOP_MAC_Y</t>
  </si>
  <si>
    <t>TOP_MAC_X</t>
  </si>
  <si>
    <t>TOP_MAC_Z</t>
  </si>
  <si>
    <t>TOP_MIC_Y</t>
  </si>
  <si>
    <t>TOP_MIC_X</t>
  </si>
  <si>
    <t>TOP_MIC_Z</t>
  </si>
  <si>
    <t>INSPEC_CONV1</t>
  </si>
  <si>
    <t>INSPEC_CONV2</t>
  </si>
  <si>
    <t>JIG_PLATE_CONV1</t>
  </si>
  <si>
    <t>JIG_PLATE_CONV2</t>
  </si>
  <si>
    <t>LO_JIG_TRANS_Y</t>
  </si>
  <si>
    <t>LO_JIG_TRANS_Z</t>
  </si>
  <si>
    <t>TURN_PLATE</t>
  </si>
  <si>
    <t>INSPEC_Y</t>
  </si>
  <si>
    <t>검사 Y축</t>
  </si>
  <si>
    <t>INSPEC_X</t>
  </si>
  <si>
    <t>검사 X축</t>
  </si>
  <si>
    <t>INSPEC_Z1</t>
  </si>
  <si>
    <t>검사 Z1</t>
  </si>
  <si>
    <t>INSPEC_Z2</t>
  </si>
  <si>
    <t>검사 Z2</t>
  </si>
  <si>
    <t xml:space="preserve">  파나소닉 A6 소계</t>
  </si>
  <si>
    <t>정격전류 합계 / 운전전류 합계 (VLOOKUP+SUM 수식)</t>
  </si>
  <si>
    <t>■ 파스텍 EziServo / EziSpeed (AC 단상 or DC 입력) — 대구텍 F2 #1</t>
  </si>
  <si>
    <t>LO_R1_1</t>
  </si>
  <si>
    <t>Ezi-EC-42XL-A</t>
  </si>
  <si>
    <t>LO 회전 R1 #1</t>
  </si>
  <si>
    <t>LO_R1_2</t>
  </si>
  <si>
    <t>LO 회전 R1 #2</t>
  </si>
  <si>
    <t>EZI_SPEED_1</t>
  </si>
  <si>
    <t>EZI-SPEED60H30CR100P</t>
  </si>
  <si>
    <t>SIDE 검사 #1</t>
  </si>
  <si>
    <t>EZI_SPEED_2</t>
  </si>
  <si>
    <t>SIDE 검사 #2</t>
  </si>
  <si>
    <t>EZI_SPEED_3</t>
  </si>
  <si>
    <t>SIDE 검사 #3</t>
  </si>
  <si>
    <t>EZI_SPEED_4</t>
  </si>
  <si>
    <t>SIDE 검사 #4</t>
  </si>
  <si>
    <t>EZI_SPEED_5</t>
  </si>
  <si>
    <t>SIDE 검사 #5</t>
  </si>
  <si>
    <t>EZI_SPEED_6</t>
  </si>
  <si>
    <t>SIDE 검사 #6</t>
  </si>
  <si>
    <t>EZI_EC_XL_1</t>
  </si>
  <si>
    <t>EZI_EC_XL_2</t>
  </si>
  <si>
    <t>EZI_EC_XL_3</t>
  </si>
  <si>
    <t>EZI_EC_XL_4</t>
  </si>
  <si>
    <t>EZI_EC_M_1</t>
  </si>
  <si>
    <t>Ezi-EC-42M-A</t>
  </si>
  <si>
    <t>EZI_EC_M_2</t>
  </si>
  <si>
    <t xml:space="preserve">  파스텍 EziServo/EziSpeed 소계</t>
  </si>
  <si>
    <t>EziServo/EziSpeed: 입력전류 사양서 확인 필요</t>
  </si>
  <si>
    <t>■ DC 24V 부하 (I/O 모듈·센서·솔레노이드·팬 등) — 추후 입력</t>
  </si>
  <si>
    <t>공통</t>
  </si>
  <si>
    <t>EZI-IO 입력모듈</t>
  </si>
  <si>
    <t>I32N-E / I16N-E</t>
  </si>
  <si>
    <t>← 실측값 입력 (모듈당 ~0.3A)</t>
  </si>
  <si>
    <t>EZI-IO 출력모듈</t>
  </si>
  <si>
    <t>O32N-E / O16N-E</t>
  </si>
  <si>
    <t>포토센서</t>
  </si>
  <si>
    <t>(직접 입력)</t>
  </si>
  <si>
    <t>← 센서 개수×0.05A</t>
  </si>
  <si>
    <t>솔레노이드밸브</t>
  </si>
  <si>
    <t>← 밸브 개수×0.2A</t>
  </si>
  <si>
    <t>냉각팬/기타</t>
  </si>
  <si>
    <t>← 실측값 입력</t>
  </si>
  <si>
    <t xml:space="preserve">  DC 24V 부하 소계</t>
  </si>
  <si>
    <t>DC 전원장치 선정: 합계전류×1.25 이상 용량</t>
  </si>
  <si>
    <t>■ 기타 부하 (HMI·산업용 PC·조명·히터 등) — 추후 입력</t>
  </si>
  <si>
    <t>HMI</t>
  </si>
  <si>
    <t>AC 단상: 제품 사양서 확인</t>
  </si>
  <si>
    <t>산업용 PC</t>
  </si>
  <si>
    <t>AC 단상</t>
  </si>
  <si>
    <t>내부 조명</t>
  </si>
  <si>
    <t xml:space="preserve">  기타 부하 소계</t>
  </si>
  <si>
    <t>기타: 단상 부하는 상 편중 주의</t>
  </si>
  <si>
    <t>■ 전체 합계 및 차단기 선정</t>
  </si>
  <si>
    <t xml:space="preserve">  전체 정격전류 합계</t>
  </si>
  <si>
    <t>×1.25 (안전계수)</t>
  </si>
  <si>
    <t>→ 차단기 직접 선정</t>
  </si>
  <si>
    <t>안전계수 1.25 적용 후 규격 차단기 선정 (Sheet4 참조)</t>
  </si>
  <si>
    <t xml:space="preserve">  R/S/T 상별 전류 합계</t>
  </si>
  <si>
    <t>→ R상 합산 입력</t>
  </si>
  <si>
    <t>→ S상 합산 입력</t>
  </si>
  <si>
    <t>→ T상 합산 입력</t>
  </si>
  <si>
    <t>각 상별 전류: 드라이버별 R/S/T 할당 × 정격전류 합산 (수동 확인)</t>
  </si>
  <si>
    <t>▶ 주요 수식 설명</t>
  </si>
  <si>
    <t>AC 3상 정격전류</t>
  </si>
  <si>
    <t>I (A) = VA / (√3 × 220V × PF)</t>
  </si>
  <si>
    <t>예) 750W ÷ (1.732×220×0.95) = 2.07A</t>
  </si>
  <si>
    <t>PF=0.95, 파나소닉 A6 카탈로그 기준</t>
  </si>
  <si>
    <t>운전전류 추정</t>
  </si>
  <si>
    <t>I_운전 = I_정격 × 0.7 (기본값)</t>
  </si>
  <si>
    <t>→ J열 자동계산 (실측값으로 교체 가능)</t>
  </si>
  <si>
    <t>실제 운전 부하율에 따라 조정</t>
  </si>
  <si>
    <t>VLOOKUP 수식</t>
  </si>
  <si>
    <t>E열 = VLOOKUP(드라이버모델, 규격시트)</t>
  </si>
  <si>
    <t>→ 모델 코드 정확히 입력 시 자동조회</t>
  </si>
  <si>
    <t>파나소닉A6규격 / 파스텍EziServo규격 시트</t>
  </si>
  <si>
    <t>안전계수 적용</t>
  </si>
  <si>
    <t>I_설계 = I_합계 × 1.25</t>
  </si>
  <si>
    <t>→ 이 값 이상의 차단기 선정</t>
  </si>
  <si>
    <t>NEC/IEC 기준 1.25배</t>
  </si>
  <si>
    <t>차단기 선정</t>
  </si>
  <si>
    <t>정격 &gt; I_설계, 단락전류 ≥ 현장값</t>
  </si>
  <si>
    <t>→ Sheet4 차단기 규격 참조표 확인</t>
  </si>
  <si>
    <t>MCCB: 산업용, MCB: 소용량</t>
  </si>
  <si>
    <t>MADLN10BE</t>
  </si>
  <si>
    <t>MDDLN85BL</t>
  </si>
  <si>
    <t>MEDLN15BL</t>
  </si>
  <si>
    <t>MFDLN23BL</t>
  </si>
  <si>
    <t>EM542S</t>
  </si>
  <si>
    <t>EM806</t>
  </si>
  <si>
    <t>차단기 규격 참조표 (MCCB / MCB — AC 220V 3상/단상)</t>
  </si>
  <si>
    <t>정격전류(A)</t>
  </si>
  <si>
    <t>적용 부하전류 범위</t>
  </si>
  <si>
    <t>제조사</t>
  </si>
  <si>
    <t>모델 3P (MCCB)</t>
  </si>
  <si>
    <t>모델 1P (MCB)</t>
  </si>
  <si>
    <t>특이사항</t>
  </si>
  <si>
    <t>~2.4A</t>
  </si>
  <si>
    <t>LS/Chint</t>
  </si>
  <si>
    <t>ABN3c / NXB-63</t>
  </si>
  <si>
    <t>BKN1-1P C3</t>
  </si>
  <si>
    <t>조명·소형제어</t>
  </si>
  <si>
    <t>2.4~4A</t>
  </si>
  <si>
    <t>ABN5c / NXB-63</t>
  </si>
  <si>
    <t>BKN1-1P C5</t>
  </si>
  <si>
    <t>소형I/O</t>
  </si>
  <si>
    <t>4~8A</t>
  </si>
  <si>
    <t>ABN10c / NXB-63</t>
  </si>
  <si>
    <t>BKN1-1P C10</t>
  </si>
  <si>
    <t>소형서보 1~2축</t>
  </si>
  <si>
    <t>8~12A</t>
  </si>
  <si>
    <t>ABN15c / NXB-63</t>
  </si>
  <si>
    <t>BKN1-1P C15</t>
  </si>
  <si>
    <t>12~16A</t>
  </si>
  <si>
    <t>ABN20c / NXB-63</t>
  </si>
  <si>
    <t>BKN1-1P C20</t>
  </si>
  <si>
    <t>중형서보</t>
  </si>
  <si>
    <t>16~20A</t>
  </si>
  <si>
    <t>ABN25c / NXB-63</t>
  </si>
  <si>
    <t>BKN1-1P C25</t>
  </si>
  <si>
    <t>20~24A</t>
  </si>
  <si>
    <t>ABN30c / NXB-63</t>
  </si>
  <si>
    <t>-</t>
  </si>
  <si>
    <t>다축서보 판넬</t>
  </si>
  <si>
    <t>24~32A</t>
  </si>
  <si>
    <t>ABN40c</t>
  </si>
  <si>
    <t>32~40A</t>
  </si>
  <si>
    <t>ABN50c</t>
  </si>
  <si>
    <t>40~50A</t>
  </si>
  <si>
    <t>ABN63c</t>
  </si>
  <si>
    <t>대형 판넬</t>
  </si>
  <si>
    <t>50~60A</t>
  </si>
  <si>
    <t>ABN75c</t>
  </si>
  <si>
    <t>메인 차단기</t>
  </si>
  <si>
    <t>60~80A</t>
  </si>
  <si>
    <t>ABN100c</t>
  </si>
  <si>
    <t>80~100A</t>
  </si>
  <si>
    <t>LS</t>
  </si>
  <si>
    <t>ABN125c</t>
  </si>
  <si>
    <t>대형 메인</t>
  </si>
  <si>
    <t>파나소닉 A6 서보드라이버 규격표 (MINAS A6 Series)</t>
  </si>
  <si>
    <t>드라이버 모델</t>
  </si>
  <si>
    <t>대응 모터</t>
  </si>
  <si>
    <t>정격출력(W)</t>
  </si>
  <si>
    <t>전원</t>
  </si>
  <si>
    <t>정격입력전류(A)</t>
  </si>
  <si>
    <t>최대입력전류(A)</t>
  </si>
  <si>
    <t>제어방식</t>
  </si>
  <si>
    <t>통신</t>
  </si>
  <si>
    <t>MSMF/MQMF 50W</t>
  </si>
  <si>
    <t>AC3상 200V</t>
  </si>
  <si>
    <t>フルクロ</t>
  </si>
  <si>
    <t>EtherCAT/Modbus</t>
  </si>
  <si>
    <t>소형 단축용</t>
  </si>
  <si>
    <t>MSMF/MQMF 100W</t>
  </si>
  <si>
    <t>MSMF/MQMF 200W</t>
  </si>
  <si>
    <t>MSMF/MQMF 400W</t>
  </si>
  <si>
    <t>MSMF/MQMF 750W</t>
  </si>
  <si>
    <t>중형 축용</t>
  </si>
  <si>
    <t>Brake 내장형</t>
  </si>
  <si>
    <t>MSMF 1kW</t>
  </si>
  <si>
    <t>대형 주축용</t>
  </si>
  <si>
    <t>MSMF 1.5kW</t>
  </si>
  <si>
    <t>MSMF 2kW</t>
  </si>
  <si>
    <t>MSMF 3kW</t>
  </si>
  <si>
    <t>고출력</t>
  </si>
  <si>
    <t>※ 정격입력전류: I = P_출력(VA) ÷ (√3 × V_입력 × PF)  |  안전계수 1.25 적용 후 차단기 선정  |  출처: Panasonic MINAS A6 Catalog</t>
  </si>
  <si>
    <t>파스텍(Fastech) 스텝드라이버 규격표</t>
  </si>
  <si>
    <t>입력전원</t>
  </si>
  <si>
    <t>출력전류 max(A)</t>
  </si>
  <si>
    <t>마이크로스텝</t>
  </si>
  <si>
    <t>통신/제어</t>
  </si>
  <si>
    <t>보호기능</t>
  </si>
  <si>
    <t>DC 20~50V</t>
  </si>
  <si>
    <t>1~256</t>
  </si>
  <si>
    <t>스텝/방향, CW/CCW</t>
  </si>
  <si>
    <t>과열/과전류/위상오류</t>
  </si>
  <si>
    <t>2상 스텝모터</t>
  </si>
  <si>
    <t>소형 범용</t>
  </si>
  <si>
    <t>DC 24~80V</t>
  </si>
  <si>
    <t>과열/과전류</t>
  </si>
  <si>
    <t>고토크 대형</t>
  </si>
  <si>
    <t>EZB2-EC</t>
  </si>
  <si>
    <t>DC 24~48V</t>
  </si>
  <si>
    <t>EtherCAT</t>
  </si>
  <si>
    <t>네트워크 제어</t>
  </si>
  <si>
    <t>EZB2-ML</t>
  </si>
  <si>
    <t>MECHATROLINK-III</t>
  </si>
  <si>
    <t>ML3 네트워크</t>
  </si>
  <si>
    <t>EZS2-EC</t>
  </si>
  <si>
    <t>중형 EtherCAT</t>
  </si>
  <si>
    <t>EziSERVO-EC</t>
  </si>
  <si>
    <t>AC 100~240V</t>
  </si>
  <si>
    <t>EtherCAT (CiA 402)</t>
  </si>
  <si>
    <t>과열/과전류/위치오류</t>
  </si>
  <si>
    <t>폐루프 스텝</t>
  </si>
  <si>
    <t>폐루프(엔코더 내장)</t>
  </si>
  <si>
    <t>※ 파스텍 DC 드라이버 전원: 별도 SMPS 필요 (DC 전원장치 용량 = 합계전류×1.25 이상)  |  출처: Fastech 제품 카탈로그</t>
  </si>
  <si>
    <t>AC 단상 220V 
파스텍 EziServo/EziSpeed</t>
    <phoneticPr fontId="18" type="noConversion"/>
  </si>
  <si>
    <t>AC 3상 220V 
파나소닉 A6 서보드라이버</t>
    <phoneticPr fontId="18" type="noConversion"/>
  </si>
  <si>
    <t>DC 24V 
I/O 모듈·센서·솔레노이드 등</t>
    <phoneticPr fontId="18" type="noConversion"/>
  </si>
  <si>
    <t>기타 부하
HMI·조명·PC 등</t>
    <phoneticPr fontId="18" type="noConversion"/>
  </si>
  <si>
    <t>기준: 불균형률 
10% 이하 권장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</si>
</sst>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888888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1F3864"/>
      <name val="맑은 고딕"/>
      <family val="3"/>
      <charset val="129"/>
    </font>
    <font>
      <sz val="9"/>
      <color rgb="FF375623"/>
      <name val="맑은 고딕"/>
      <family val="3"/>
      <charset val="129"/>
    </font>
    <font>
      <sz val="8"/>
      <color rgb="FF555555"/>
      <name val="맑은 고딕"/>
      <family val="3"/>
      <charset val="129"/>
    </font>
    <font>
      <sz val="9"/>
      <color rgb="FF833C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8"/>
      <color rgb="FF1F3864"/>
      <name val="맑은 고딕"/>
      <family val="3"/>
      <charset val="129"/>
    </font>
    <font>
      <b/>
      <sz val="9"/>
      <color rgb="FF1F3864"/>
      <name val="Courier New"/>
      <family val="3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1F3864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EF4E8"/>
      </patternFill>
    </fill>
    <fill>
      <patternFill patternType="solid">
        <fgColor rgb="FFEDF7E3"/>
      </patternFill>
    </fill>
    <fill>
      <patternFill patternType="solid">
        <fgColor rgb="FFF3EBF9"/>
      </patternFill>
    </fill>
    <fill>
      <patternFill patternType="solid">
        <fgColor rgb="FF833C00"/>
      </patternFill>
    </fill>
    <fill>
      <patternFill patternType="solid">
        <fgColor rgb="FFC55A11"/>
      </patternFill>
    </fill>
    <fill>
      <patternFill patternType="solid">
        <fgColor rgb="FF2F5496"/>
      </patternFill>
    </fill>
    <fill>
      <patternFill patternType="solid">
        <fgColor rgb="FF00B0F0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FFE699"/>
      </patternFill>
    </fill>
    <fill>
      <patternFill patternType="solid">
        <fgColor rgb="FFF2DCDB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EBF3E8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4F9C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76" fontId="4" fillId="1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2" fontId="12" fillId="17" borderId="1" xfId="0" applyNumberFormat="1" applyFont="1" applyFill="1" applyBorder="1" applyAlignment="1">
      <alignment horizontal="center" vertical="center" wrapText="1"/>
    </xf>
    <xf numFmtId="2" fontId="13" fillId="18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4" fillId="19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/>
    <xf numFmtId="0" fontId="4" fillId="13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6" fillId="21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14" fillId="21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10" fillId="21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9" fillId="23" borderId="0" xfId="0" applyFont="1" applyFill="1" applyAlignment="1">
      <alignment horizontal="center" vertical="center" wrapText="1"/>
    </xf>
    <xf numFmtId="0" fontId="19" fillId="25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tabSelected="1" topLeftCell="A16" workbookViewId="0">
      <selection activeCell="H15" sqref="H15:H16"/>
    </sheetView>
  </sheetViews>
  <sheetFormatPr defaultRowHeight="16.5" x14ac:dyDescent="0.3"/>
  <cols>
    <col min="1" max="1" width="21.125" customWidth="1"/>
    <col min="2" max="2" width="18" customWidth="1"/>
    <col min="3" max="3" width="22" customWidth="1"/>
    <col min="4" max="4" width="8" customWidth="1"/>
    <col min="5" max="5" width="10" customWidth="1"/>
    <col min="6" max="6" width="10.375" bestFit="1" customWidth="1"/>
    <col min="7" max="7" width="13.375" bestFit="1" customWidth="1"/>
    <col min="8" max="8" width="13" bestFit="1" customWidth="1"/>
    <col min="9" max="9" width="7.625" bestFit="1" customWidth="1"/>
    <col min="10" max="16" width="9" customWidth="1"/>
    <col min="17" max="17" width="30" customWidth="1"/>
  </cols>
  <sheetData>
    <row r="1" spans="1:17" ht="27.95" customHeight="1" x14ac:dyDescent="0.3">
      <c r="A1" s="55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8" customHeight="1" x14ac:dyDescent="0.3">
      <c r="A2" s="62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7" ht="24" x14ac:dyDescent="0.3">
      <c r="A4" s="2" t="s">
        <v>348</v>
      </c>
      <c r="B4" s="3">
        <f>E82</f>
        <v>10950</v>
      </c>
      <c r="C4" s="3">
        <f>B4*1.25</f>
        <v>13687.5</v>
      </c>
      <c r="D4" s="4" t="s">
        <v>8</v>
      </c>
      <c r="E4" s="5" t="s">
        <v>9</v>
      </c>
      <c r="F4" s="5" t="s">
        <v>9</v>
      </c>
    </row>
    <row r="5" spans="1:17" ht="24" x14ac:dyDescent="0.3">
      <c r="A5" s="6" t="s">
        <v>347</v>
      </c>
      <c r="B5" s="7">
        <f>E99</f>
        <v>0</v>
      </c>
      <c r="C5" s="7">
        <f>B5*1.25</f>
        <v>0</v>
      </c>
      <c r="D5" s="8" t="s">
        <v>8</v>
      </c>
      <c r="E5" s="9" t="s">
        <v>9</v>
      </c>
      <c r="F5" s="9" t="s">
        <v>9</v>
      </c>
    </row>
    <row r="6" spans="1:17" ht="24" x14ac:dyDescent="0.3">
      <c r="A6" s="10" t="s">
        <v>349</v>
      </c>
      <c r="B6" s="11">
        <f>E107</f>
        <v>0</v>
      </c>
      <c r="C6" s="11">
        <f>B6*1.25</f>
        <v>0</v>
      </c>
      <c r="D6" s="12" t="s">
        <v>8</v>
      </c>
      <c r="E6" s="13" t="s">
        <v>9</v>
      </c>
      <c r="F6" s="13" t="s">
        <v>9</v>
      </c>
    </row>
    <row r="7" spans="1:17" ht="24" x14ac:dyDescent="0.3">
      <c r="A7" s="14" t="s">
        <v>350</v>
      </c>
      <c r="B7" s="15">
        <f>E114</f>
        <v>0</v>
      </c>
      <c r="C7" s="15">
        <f>B7*1.25</f>
        <v>0</v>
      </c>
      <c r="D7" s="16" t="s">
        <v>8</v>
      </c>
      <c r="E7" s="17" t="s">
        <v>9</v>
      </c>
      <c r="F7" s="17" t="s">
        <v>9</v>
      </c>
    </row>
    <row r="8" spans="1:17" ht="6" customHeight="1" x14ac:dyDescent="0.3"/>
    <row r="9" spans="1:17" ht="18" customHeight="1" x14ac:dyDescent="0.3">
      <c r="A9" s="50" t="s">
        <v>10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24" x14ac:dyDescent="0.3">
      <c r="A10" s="18"/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18" t="s">
        <v>351</v>
      </c>
    </row>
    <row r="11" spans="1:17" ht="15.95" customHeight="1" x14ac:dyDescent="0.3">
      <c r="A11" s="19" t="s">
        <v>17</v>
      </c>
      <c r="B11" s="20"/>
      <c r="C11" s="20"/>
      <c r="D11" s="20"/>
      <c r="E11" s="20"/>
      <c r="F11" s="20"/>
      <c r="G11" s="20"/>
      <c r="H11" s="20"/>
    </row>
    <row r="12" spans="1:17" ht="15.95" customHeight="1" x14ac:dyDescent="0.3">
      <c r="A12" s="19" t="s">
        <v>18</v>
      </c>
      <c r="B12" s="20"/>
      <c r="C12" s="20"/>
      <c r="D12" s="20"/>
      <c r="E12" s="20"/>
      <c r="F12" s="20"/>
      <c r="G12" s="20"/>
      <c r="H12" s="20"/>
    </row>
    <row r="13" spans="1:17" ht="15.95" customHeight="1" x14ac:dyDescent="0.3">
      <c r="A13" s="19" t="s">
        <v>19</v>
      </c>
      <c r="B13" s="20"/>
      <c r="C13" s="20"/>
      <c r="D13" s="20"/>
      <c r="E13" s="20"/>
      <c r="F13" s="20"/>
      <c r="G13" s="20"/>
      <c r="H13" s="20"/>
    </row>
    <row r="14" spans="1:17" ht="6" customHeight="1" x14ac:dyDescent="0.3"/>
    <row r="15" spans="1:17" ht="20.100000000000001" customHeight="1" x14ac:dyDescent="0.3">
      <c r="A15" s="46" t="s">
        <v>20</v>
      </c>
      <c r="B15" s="46" t="s">
        <v>21</v>
      </c>
      <c r="C15" s="46" t="s">
        <v>22</v>
      </c>
      <c r="D15" s="46" t="s">
        <v>23</v>
      </c>
      <c r="E15" s="46" t="s">
        <v>24</v>
      </c>
      <c r="F15" s="46" t="s">
        <v>25</v>
      </c>
      <c r="G15" s="46" t="s">
        <v>26</v>
      </c>
      <c r="H15" s="46" t="s">
        <v>27</v>
      </c>
      <c r="I15" s="46" t="s">
        <v>28</v>
      </c>
      <c r="J15" s="46" t="s">
        <v>29</v>
      </c>
      <c r="K15" s="56" t="s">
        <v>30</v>
      </c>
      <c r="L15" s="47"/>
      <c r="M15" s="47"/>
      <c r="N15" s="47"/>
      <c r="O15" s="46" t="s">
        <v>31</v>
      </c>
      <c r="P15" s="46" t="s">
        <v>32</v>
      </c>
      <c r="Q15" s="57" t="s">
        <v>33</v>
      </c>
    </row>
    <row r="16" spans="1:17" ht="24" customHeight="1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1" t="s">
        <v>34</v>
      </c>
      <c r="L16" s="1" t="s">
        <v>35</v>
      </c>
      <c r="M16" s="1" t="s">
        <v>36</v>
      </c>
      <c r="N16" s="1" t="s">
        <v>37</v>
      </c>
      <c r="O16" s="47"/>
      <c r="P16" s="47"/>
      <c r="Q16" s="47"/>
    </row>
    <row r="17" spans="1:17" ht="15.95" customHeight="1" x14ac:dyDescent="0.3">
      <c r="A17" s="64" t="s">
        <v>38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spans="1:17" ht="17.100000000000001" customHeight="1" x14ac:dyDescent="0.3">
      <c r="A18" s="22" t="s">
        <v>39</v>
      </c>
      <c r="B18" s="23" t="s">
        <v>40</v>
      </c>
      <c r="C18" s="23" t="s">
        <v>41</v>
      </c>
      <c r="D18" s="4">
        <v>1000</v>
      </c>
      <c r="E18" s="24">
        <f>IFERROR(VLOOKUP(C18,파나소닉A6규격!$A:$C,3,FALSE),IFERROR(VLOOKUP(C18,파스텍EziServo규격!$A:$C,3,FALSE),""))</f>
        <v>1000</v>
      </c>
      <c r="F18" s="4">
        <v>3</v>
      </c>
      <c r="G18" s="4">
        <v>1</v>
      </c>
      <c r="H18" s="4">
        <v>1</v>
      </c>
      <c r="I18" s="4">
        <v>1</v>
      </c>
      <c r="J18" s="25">
        <f t="shared" ref="J18:J49" si="0">IF(E18="","",E18*0.7)</f>
        <v>700</v>
      </c>
      <c r="K18" s="4" t="s">
        <v>42</v>
      </c>
      <c r="L18" s="4"/>
      <c r="M18" s="4"/>
      <c r="N18" s="4"/>
      <c r="O18" s="4"/>
      <c r="P18" s="4"/>
      <c r="Q18" s="23" t="s">
        <v>43</v>
      </c>
    </row>
    <row r="19" spans="1:17" ht="17.100000000000001" customHeight="1" x14ac:dyDescent="0.3">
      <c r="A19" s="22" t="s">
        <v>39</v>
      </c>
      <c r="B19" s="23" t="s">
        <v>44</v>
      </c>
      <c r="C19" s="23" t="s">
        <v>45</v>
      </c>
      <c r="D19" s="4">
        <v>750</v>
      </c>
      <c r="E19" s="24">
        <f>IFERROR(VLOOKUP(C19,파나소닉A6규격!$A:$C,3,FALSE),IFERROR(VLOOKUP(C19,파스텍EziServo규격!$A:$C,3,FALSE),""))</f>
        <v>750</v>
      </c>
      <c r="F19" s="4">
        <v>3</v>
      </c>
      <c r="G19" s="4">
        <v>1</v>
      </c>
      <c r="H19" s="4">
        <v>1</v>
      </c>
      <c r="I19" s="4">
        <v>1</v>
      </c>
      <c r="J19" s="25">
        <f t="shared" si="0"/>
        <v>525</v>
      </c>
      <c r="K19" s="4" t="s">
        <v>42</v>
      </c>
      <c r="L19" s="4"/>
      <c r="M19" s="4"/>
      <c r="N19" s="4"/>
      <c r="O19" s="4"/>
      <c r="P19" s="4"/>
      <c r="Q19" s="23" t="s">
        <v>46</v>
      </c>
    </row>
    <row r="20" spans="1:17" ht="17.100000000000001" customHeight="1" x14ac:dyDescent="0.3">
      <c r="A20" s="22" t="s">
        <v>39</v>
      </c>
      <c r="B20" s="23" t="s">
        <v>47</v>
      </c>
      <c r="C20" s="23" t="s">
        <v>48</v>
      </c>
      <c r="D20" s="4">
        <v>50</v>
      </c>
      <c r="E20" s="24">
        <f>IFERROR(VLOOKUP(C20,파나소닉A6규격!$A:$C,3,FALSE),IFERROR(VLOOKUP(C20,파스텍EziServo규격!$A:$C,3,FALSE),""))</f>
        <v>50</v>
      </c>
      <c r="F20" s="4">
        <v>3</v>
      </c>
      <c r="G20" s="4">
        <v>1</v>
      </c>
      <c r="H20" s="4">
        <v>1</v>
      </c>
      <c r="I20" s="4">
        <v>1</v>
      </c>
      <c r="J20" s="25">
        <f t="shared" si="0"/>
        <v>35</v>
      </c>
      <c r="K20" s="4" t="s">
        <v>42</v>
      </c>
      <c r="L20" s="4"/>
      <c r="M20" s="4"/>
      <c r="N20" s="4"/>
      <c r="O20" s="4"/>
      <c r="P20" s="4"/>
      <c r="Q20" s="23" t="s">
        <v>49</v>
      </c>
    </row>
    <row r="21" spans="1:17" ht="17.100000000000001" customHeight="1" x14ac:dyDescent="0.3">
      <c r="A21" s="22" t="s">
        <v>39</v>
      </c>
      <c r="B21" s="23" t="s">
        <v>50</v>
      </c>
      <c r="C21" s="23" t="s">
        <v>45</v>
      </c>
      <c r="D21" s="4">
        <v>750</v>
      </c>
      <c r="E21" s="24">
        <f>IFERROR(VLOOKUP(C21,파나소닉A6규격!$A:$C,3,FALSE),IFERROR(VLOOKUP(C21,파스텍EziServo규격!$A:$C,3,FALSE),""))</f>
        <v>750</v>
      </c>
      <c r="F21" s="4">
        <v>3</v>
      </c>
      <c r="G21" s="4">
        <v>1</v>
      </c>
      <c r="H21" s="4">
        <v>1</v>
      </c>
      <c r="I21" s="4">
        <v>1</v>
      </c>
      <c r="J21" s="25">
        <f t="shared" si="0"/>
        <v>525</v>
      </c>
      <c r="K21" s="4" t="s">
        <v>42</v>
      </c>
      <c r="L21" s="4"/>
      <c r="M21" s="4"/>
      <c r="N21" s="4"/>
      <c r="O21" s="4"/>
      <c r="P21" s="4"/>
      <c r="Q21" s="23" t="s">
        <v>51</v>
      </c>
    </row>
    <row r="22" spans="1:17" ht="17.100000000000001" customHeight="1" x14ac:dyDescent="0.3">
      <c r="A22" s="22" t="s">
        <v>39</v>
      </c>
      <c r="B22" s="23" t="s">
        <v>52</v>
      </c>
      <c r="C22" s="23" t="s">
        <v>45</v>
      </c>
      <c r="D22" s="4">
        <v>750</v>
      </c>
      <c r="E22" s="24">
        <f>IFERROR(VLOOKUP(C22,파나소닉A6규격!$A:$C,3,FALSE),IFERROR(VLOOKUP(C22,파스텍EziServo규격!$A:$C,3,FALSE),""))</f>
        <v>750</v>
      </c>
      <c r="F22" s="4">
        <v>3</v>
      </c>
      <c r="G22" s="4">
        <v>1</v>
      </c>
      <c r="H22" s="4">
        <v>1</v>
      </c>
      <c r="I22" s="4">
        <v>1</v>
      </c>
      <c r="J22" s="25">
        <f t="shared" si="0"/>
        <v>525</v>
      </c>
      <c r="K22" s="4" t="s">
        <v>42</v>
      </c>
      <c r="L22" s="4"/>
      <c r="M22" s="4"/>
      <c r="N22" s="4"/>
      <c r="O22" s="4"/>
      <c r="P22" s="4"/>
      <c r="Q22" s="23" t="s">
        <v>53</v>
      </c>
    </row>
    <row r="23" spans="1:17" ht="17.100000000000001" customHeight="1" x14ac:dyDescent="0.3">
      <c r="A23" s="22" t="s">
        <v>39</v>
      </c>
      <c r="B23" s="23" t="s">
        <v>54</v>
      </c>
      <c r="C23" s="23" t="s">
        <v>48</v>
      </c>
      <c r="D23" s="4">
        <v>50</v>
      </c>
      <c r="E23" s="24">
        <f>IFERROR(VLOOKUP(C23,파나소닉A6규격!$A:$C,3,FALSE),IFERROR(VLOOKUP(C23,파스텍EziServo규격!$A:$C,3,FALSE),""))</f>
        <v>50</v>
      </c>
      <c r="F23" s="4">
        <v>3</v>
      </c>
      <c r="G23" s="4">
        <v>1</v>
      </c>
      <c r="H23" s="4">
        <v>1</v>
      </c>
      <c r="I23" s="4">
        <v>1</v>
      </c>
      <c r="J23" s="25">
        <f t="shared" si="0"/>
        <v>35</v>
      </c>
      <c r="K23" s="4" t="s">
        <v>42</v>
      </c>
      <c r="L23" s="4"/>
      <c r="M23" s="4"/>
      <c r="N23" s="4"/>
      <c r="O23" s="4"/>
      <c r="P23" s="4"/>
      <c r="Q23" s="23" t="s">
        <v>55</v>
      </c>
    </row>
    <row r="24" spans="1:17" ht="17.100000000000001" customHeight="1" x14ac:dyDescent="0.3">
      <c r="A24" s="22" t="s">
        <v>39</v>
      </c>
      <c r="B24" s="23" t="s">
        <v>56</v>
      </c>
      <c r="C24" s="23" t="s">
        <v>57</v>
      </c>
      <c r="D24" s="4">
        <v>750</v>
      </c>
      <c r="E24" s="24">
        <f>IFERROR(VLOOKUP(C24,파나소닉A6규격!$A:$C,3,FALSE),IFERROR(VLOOKUP(C24,파스텍EziServo규격!$A:$C,3,FALSE),""))</f>
        <v>750</v>
      </c>
      <c r="F24" s="4">
        <v>3</v>
      </c>
      <c r="G24" s="4">
        <v>1</v>
      </c>
      <c r="H24" s="4">
        <v>1</v>
      </c>
      <c r="I24" s="4">
        <v>1</v>
      </c>
      <c r="J24" s="25">
        <f t="shared" si="0"/>
        <v>525</v>
      </c>
      <c r="K24" s="4" t="s">
        <v>42</v>
      </c>
      <c r="L24" s="4"/>
      <c r="M24" s="4"/>
      <c r="N24" s="4"/>
      <c r="O24" s="4"/>
      <c r="P24" s="4"/>
      <c r="Q24" s="23" t="s">
        <v>58</v>
      </c>
    </row>
    <row r="25" spans="1:17" ht="17.100000000000001" customHeight="1" x14ac:dyDescent="0.3">
      <c r="A25" s="22" t="s">
        <v>39</v>
      </c>
      <c r="B25" s="23" t="s">
        <v>59</v>
      </c>
      <c r="C25" s="23" t="s">
        <v>48</v>
      </c>
      <c r="D25" s="4">
        <v>50</v>
      </c>
      <c r="E25" s="24">
        <f>IFERROR(VLOOKUP(C25,파나소닉A6규격!$A:$C,3,FALSE),IFERROR(VLOOKUP(C25,파스텍EziServo규격!$A:$C,3,FALSE),""))</f>
        <v>50</v>
      </c>
      <c r="F25" s="4">
        <v>3</v>
      </c>
      <c r="G25" s="4">
        <v>1</v>
      </c>
      <c r="H25" s="4">
        <v>1</v>
      </c>
      <c r="I25" s="4">
        <v>1</v>
      </c>
      <c r="J25" s="25">
        <f t="shared" si="0"/>
        <v>35</v>
      </c>
      <c r="K25" s="4" t="s">
        <v>42</v>
      </c>
      <c r="L25" s="4"/>
      <c r="M25" s="4"/>
      <c r="N25" s="4"/>
      <c r="O25" s="4"/>
      <c r="P25" s="4"/>
      <c r="Q25" s="23" t="s">
        <v>60</v>
      </c>
    </row>
    <row r="26" spans="1:17" ht="17.100000000000001" customHeight="1" x14ac:dyDescent="0.3">
      <c r="A26" s="22" t="s">
        <v>39</v>
      </c>
      <c r="B26" s="23" t="s">
        <v>61</v>
      </c>
      <c r="C26" s="23" t="s">
        <v>62</v>
      </c>
      <c r="D26" s="4">
        <v>400</v>
      </c>
      <c r="E26" s="24">
        <f>IFERROR(VLOOKUP(C26,파나소닉A6규격!$A:$C,3,FALSE),IFERROR(VLOOKUP(C26,파스텍EziServo규격!$A:$C,3,FALSE),""))</f>
        <v>400</v>
      </c>
      <c r="F26" s="4">
        <v>3</v>
      </c>
      <c r="G26" s="4">
        <v>1</v>
      </c>
      <c r="H26" s="4">
        <v>1</v>
      </c>
      <c r="I26" s="4">
        <v>1</v>
      </c>
      <c r="J26" s="25">
        <f t="shared" si="0"/>
        <v>280</v>
      </c>
      <c r="K26" s="4" t="s">
        <v>42</v>
      </c>
      <c r="L26" s="4"/>
      <c r="M26" s="4"/>
      <c r="N26" s="4"/>
      <c r="O26" s="4"/>
      <c r="P26" s="4"/>
      <c r="Q26" s="23" t="s">
        <v>63</v>
      </c>
    </row>
    <row r="27" spans="1:17" ht="17.100000000000001" customHeight="1" x14ac:dyDescent="0.3">
      <c r="A27" s="22" t="s">
        <v>39</v>
      </c>
      <c r="B27" s="23" t="s">
        <v>64</v>
      </c>
      <c r="C27" s="23" t="s">
        <v>48</v>
      </c>
      <c r="D27" s="4">
        <v>50</v>
      </c>
      <c r="E27" s="24">
        <f>IFERROR(VLOOKUP(C27,파나소닉A6규격!$A:$C,3,FALSE),IFERROR(VLOOKUP(C27,파스텍EziServo규격!$A:$C,3,FALSE),""))</f>
        <v>50</v>
      </c>
      <c r="F27" s="4">
        <v>3</v>
      </c>
      <c r="G27" s="4">
        <v>1</v>
      </c>
      <c r="H27" s="4">
        <v>1</v>
      </c>
      <c r="I27" s="4">
        <v>1</v>
      </c>
      <c r="J27" s="25">
        <f t="shared" si="0"/>
        <v>35</v>
      </c>
      <c r="K27" s="4" t="s">
        <v>42</v>
      </c>
      <c r="L27" s="4"/>
      <c r="M27" s="4"/>
      <c r="N27" s="4"/>
      <c r="O27" s="4"/>
      <c r="P27" s="4"/>
      <c r="Q27" s="23" t="s">
        <v>65</v>
      </c>
    </row>
    <row r="28" spans="1:17" ht="17.100000000000001" customHeight="1" x14ac:dyDescent="0.3">
      <c r="A28" s="22" t="s">
        <v>39</v>
      </c>
      <c r="B28" s="23" t="s">
        <v>66</v>
      </c>
      <c r="C28" s="23" t="s">
        <v>62</v>
      </c>
      <c r="D28" s="4">
        <v>400</v>
      </c>
      <c r="E28" s="24">
        <f>IFERROR(VLOOKUP(C28,파나소닉A6규격!$A:$C,3,FALSE),IFERROR(VLOOKUP(C28,파스텍EziServo규격!$A:$C,3,FALSE),""))</f>
        <v>400</v>
      </c>
      <c r="F28" s="4">
        <v>3</v>
      </c>
      <c r="G28" s="4">
        <v>1</v>
      </c>
      <c r="H28" s="4">
        <v>1</v>
      </c>
      <c r="I28" s="4">
        <v>1</v>
      </c>
      <c r="J28" s="25">
        <f t="shared" si="0"/>
        <v>280</v>
      </c>
      <c r="K28" s="4" t="s">
        <v>42</v>
      </c>
      <c r="L28" s="4"/>
      <c r="M28" s="4"/>
      <c r="N28" s="4"/>
      <c r="O28" s="4"/>
      <c r="P28" s="4"/>
      <c r="Q28" s="23" t="s">
        <v>67</v>
      </c>
    </row>
    <row r="29" spans="1:17" ht="17.100000000000001" customHeight="1" x14ac:dyDescent="0.3">
      <c r="A29" s="22" t="s">
        <v>39</v>
      </c>
      <c r="B29" s="23" t="s">
        <v>68</v>
      </c>
      <c r="C29" s="23" t="s">
        <v>48</v>
      </c>
      <c r="D29" s="4">
        <v>50</v>
      </c>
      <c r="E29" s="24">
        <f>IFERROR(VLOOKUP(C29,파나소닉A6규격!$A:$C,3,FALSE),IFERROR(VLOOKUP(C29,파스텍EziServo규격!$A:$C,3,FALSE),""))</f>
        <v>50</v>
      </c>
      <c r="F29" s="4">
        <v>3</v>
      </c>
      <c r="G29" s="4">
        <v>1</v>
      </c>
      <c r="H29" s="4">
        <v>1</v>
      </c>
      <c r="I29" s="4">
        <v>1</v>
      </c>
      <c r="J29" s="25">
        <f t="shared" si="0"/>
        <v>35</v>
      </c>
      <c r="K29" s="4" t="s">
        <v>42</v>
      </c>
      <c r="L29" s="4"/>
      <c r="M29" s="4"/>
      <c r="N29" s="4"/>
      <c r="O29" s="4"/>
      <c r="P29" s="4"/>
      <c r="Q29" s="23" t="s">
        <v>69</v>
      </c>
    </row>
    <row r="30" spans="1:17" ht="17.100000000000001" customHeight="1" x14ac:dyDescent="0.3">
      <c r="A30" s="22" t="s">
        <v>39</v>
      </c>
      <c r="B30" s="23" t="s">
        <v>70</v>
      </c>
      <c r="C30" s="23" t="s">
        <v>48</v>
      </c>
      <c r="D30" s="4">
        <v>50</v>
      </c>
      <c r="E30" s="24">
        <f>IFERROR(VLOOKUP(C30,파나소닉A6규격!$A:$C,3,FALSE),IFERROR(VLOOKUP(C30,파스텍EziServo규격!$A:$C,3,FALSE),""))</f>
        <v>50</v>
      </c>
      <c r="F30" s="4">
        <v>3</v>
      </c>
      <c r="G30" s="4">
        <v>1</v>
      </c>
      <c r="H30" s="4">
        <v>1</v>
      </c>
      <c r="I30" s="4">
        <v>1</v>
      </c>
      <c r="J30" s="25">
        <f t="shared" si="0"/>
        <v>35</v>
      </c>
      <c r="K30" s="4" t="s">
        <v>42</v>
      </c>
      <c r="L30" s="4"/>
      <c r="M30" s="4"/>
      <c r="N30" s="4"/>
      <c r="O30" s="4"/>
      <c r="P30" s="4"/>
      <c r="Q30" s="23" t="s">
        <v>71</v>
      </c>
    </row>
    <row r="31" spans="1:17" ht="17.100000000000001" customHeight="1" x14ac:dyDescent="0.3">
      <c r="A31" s="22" t="s">
        <v>72</v>
      </c>
      <c r="B31" s="23" t="s">
        <v>73</v>
      </c>
      <c r="C31" s="23" t="s">
        <v>57</v>
      </c>
      <c r="D31" s="4">
        <v>750</v>
      </c>
      <c r="E31" s="24">
        <f>IFERROR(VLOOKUP(C31,파나소닉A6규격!$A:$C,3,FALSE),IFERROR(VLOOKUP(C31,파스텍EziServo규격!$A:$C,3,FALSE),""))</f>
        <v>750</v>
      </c>
      <c r="F31" s="4">
        <v>3</v>
      </c>
      <c r="G31" s="4">
        <v>1</v>
      </c>
      <c r="H31" s="4">
        <v>1</v>
      </c>
      <c r="I31" s="4">
        <v>1</v>
      </c>
      <c r="J31" s="25">
        <f t="shared" si="0"/>
        <v>525</v>
      </c>
      <c r="K31" s="4" t="s">
        <v>42</v>
      </c>
      <c r="L31" s="4"/>
      <c r="M31" s="4"/>
      <c r="N31" s="4"/>
      <c r="O31" s="4"/>
      <c r="P31" s="4"/>
      <c r="Q31" s="23" t="s">
        <v>74</v>
      </c>
    </row>
    <row r="32" spans="1:17" ht="17.100000000000001" customHeight="1" x14ac:dyDescent="0.3">
      <c r="A32" s="22" t="s">
        <v>72</v>
      </c>
      <c r="B32" s="23" t="s">
        <v>75</v>
      </c>
      <c r="C32" s="23" t="s">
        <v>48</v>
      </c>
      <c r="D32" s="4">
        <v>50</v>
      </c>
      <c r="E32" s="24">
        <f>IFERROR(VLOOKUP(C32,파나소닉A6규격!$A:$C,3,FALSE),IFERROR(VLOOKUP(C32,파스텍EziServo규격!$A:$C,3,FALSE),""))</f>
        <v>50</v>
      </c>
      <c r="F32" s="4">
        <v>3</v>
      </c>
      <c r="G32" s="4">
        <v>1</v>
      </c>
      <c r="H32" s="4">
        <v>1</v>
      </c>
      <c r="I32" s="4">
        <v>1</v>
      </c>
      <c r="J32" s="25">
        <f t="shared" si="0"/>
        <v>35</v>
      </c>
      <c r="K32" s="4" t="s">
        <v>42</v>
      </c>
      <c r="L32" s="4"/>
      <c r="M32" s="4"/>
      <c r="N32" s="4"/>
      <c r="O32" s="4"/>
      <c r="P32" s="4"/>
      <c r="Q32" s="23" t="s">
        <v>76</v>
      </c>
    </row>
    <row r="33" spans="1:17" ht="17.100000000000001" customHeight="1" x14ac:dyDescent="0.3">
      <c r="A33" s="22" t="s">
        <v>72</v>
      </c>
      <c r="B33" s="23" t="s">
        <v>77</v>
      </c>
      <c r="C33" s="23" t="s">
        <v>62</v>
      </c>
      <c r="D33" s="4">
        <v>400</v>
      </c>
      <c r="E33" s="24">
        <f>IFERROR(VLOOKUP(C33,파나소닉A6규격!$A:$C,3,FALSE),IFERROR(VLOOKUP(C33,파스텍EziServo규격!$A:$C,3,FALSE),""))</f>
        <v>400</v>
      </c>
      <c r="F33" s="4">
        <v>3</v>
      </c>
      <c r="G33" s="4">
        <v>1</v>
      </c>
      <c r="H33" s="4">
        <v>1</v>
      </c>
      <c r="I33" s="4">
        <v>1</v>
      </c>
      <c r="J33" s="25">
        <f t="shared" si="0"/>
        <v>280</v>
      </c>
      <c r="K33" s="4" t="s">
        <v>42</v>
      </c>
      <c r="L33" s="4"/>
      <c r="M33" s="4"/>
      <c r="N33" s="4"/>
      <c r="O33" s="4"/>
      <c r="P33" s="4"/>
      <c r="Q33" s="23" t="s">
        <v>78</v>
      </c>
    </row>
    <row r="34" spans="1:17" ht="17.100000000000001" customHeight="1" x14ac:dyDescent="0.3">
      <c r="A34" s="22" t="s">
        <v>72</v>
      </c>
      <c r="B34" s="23" t="s">
        <v>79</v>
      </c>
      <c r="C34" s="23" t="s">
        <v>48</v>
      </c>
      <c r="D34" s="4">
        <v>50</v>
      </c>
      <c r="E34" s="24">
        <f>IFERROR(VLOOKUP(C34,파나소닉A6규격!$A:$C,3,FALSE),IFERROR(VLOOKUP(C34,파스텍EziServo규격!$A:$C,3,FALSE),""))</f>
        <v>50</v>
      </c>
      <c r="F34" s="4">
        <v>3</v>
      </c>
      <c r="G34" s="4">
        <v>1</v>
      </c>
      <c r="H34" s="4">
        <v>1</v>
      </c>
      <c r="I34" s="4">
        <v>1</v>
      </c>
      <c r="J34" s="25">
        <f t="shared" si="0"/>
        <v>35</v>
      </c>
      <c r="K34" s="4" t="s">
        <v>42</v>
      </c>
      <c r="L34" s="4"/>
      <c r="M34" s="4"/>
      <c r="N34" s="4"/>
      <c r="O34" s="4"/>
      <c r="P34" s="4"/>
      <c r="Q34" s="23" t="s">
        <v>80</v>
      </c>
    </row>
    <row r="35" spans="1:17" ht="17.100000000000001" customHeight="1" x14ac:dyDescent="0.3">
      <c r="A35" s="22" t="s">
        <v>72</v>
      </c>
      <c r="B35" s="23" t="s">
        <v>81</v>
      </c>
      <c r="C35" s="23" t="s">
        <v>62</v>
      </c>
      <c r="D35" s="4">
        <v>400</v>
      </c>
      <c r="E35" s="24">
        <f>IFERROR(VLOOKUP(C35,파나소닉A6규격!$A:$C,3,FALSE),IFERROR(VLOOKUP(C35,파스텍EziServo규격!$A:$C,3,FALSE),""))</f>
        <v>400</v>
      </c>
      <c r="F35" s="4">
        <v>3</v>
      </c>
      <c r="G35" s="4">
        <v>1</v>
      </c>
      <c r="H35" s="4">
        <v>1</v>
      </c>
      <c r="I35" s="4">
        <v>1</v>
      </c>
      <c r="J35" s="25">
        <f t="shared" si="0"/>
        <v>280</v>
      </c>
      <c r="K35" s="4" t="s">
        <v>42</v>
      </c>
      <c r="L35" s="4"/>
      <c r="M35" s="4"/>
      <c r="N35" s="4"/>
      <c r="O35" s="4"/>
      <c r="P35" s="4"/>
      <c r="Q35" s="23" t="s">
        <v>82</v>
      </c>
    </row>
    <row r="36" spans="1:17" ht="17.100000000000001" customHeight="1" x14ac:dyDescent="0.3">
      <c r="A36" s="22" t="s">
        <v>72</v>
      </c>
      <c r="B36" s="23" t="s">
        <v>83</v>
      </c>
      <c r="C36" s="23" t="s">
        <v>62</v>
      </c>
      <c r="D36" s="4">
        <v>400</v>
      </c>
      <c r="E36" s="24">
        <f>IFERROR(VLOOKUP(C36,파나소닉A6규격!$A:$C,3,FALSE),IFERROR(VLOOKUP(C36,파스텍EziServo규격!$A:$C,3,FALSE),""))</f>
        <v>400</v>
      </c>
      <c r="F36" s="4">
        <v>3</v>
      </c>
      <c r="G36" s="4">
        <v>1</v>
      </c>
      <c r="H36" s="4">
        <v>1</v>
      </c>
      <c r="I36" s="4">
        <v>1</v>
      </c>
      <c r="J36" s="25">
        <f t="shared" si="0"/>
        <v>280</v>
      </c>
      <c r="K36" s="4" t="s">
        <v>42</v>
      </c>
      <c r="L36" s="4"/>
      <c r="M36" s="4"/>
      <c r="N36" s="4"/>
      <c r="O36" s="4"/>
      <c r="P36" s="4"/>
      <c r="Q36" s="23" t="s">
        <v>84</v>
      </c>
    </row>
    <row r="37" spans="1:17" ht="17.100000000000001" customHeight="1" x14ac:dyDescent="0.3">
      <c r="A37" s="22" t="s">
        <v>72</v>
      </c>
      <c r="B37" s="23" t="s">
        <v>85</v>
      </c>
      <c r="C37" s="23" t="s">
        <v>86</v>
      </c>
      <c r="D37" s="4">
        <v>200</v>
      </c>
      <c r="E37" s="24">
        <f>IFERROR(VLOOKUP(C37,파나소닉A6규격!$A:$C,3,FALSE),IFERROR(VLOOKUP(C37,파스텍EziServo규격!$A:$C,3,FALSE),""))</f>
        <v>200</v>
      </c>
      <c r="F37" s="4">
        <v>3</v>
      </c>
      <c r="G37" s="4">
        <v>1</v>
      </c>
      <c r="H37" s="4">
        <v>1</v>
      </c>
      <c r="I37" s="4">
        <v>1</v>
      </c>
      <c r="J37" s="25">
        <f t="shared" si="0"/>
        <v>140</v>
      </c>
      <c r="K37" s="4" t="s">
        <v>42</v>
      </c>
      <c r="L37" s="4"/>
      <c r="M37" s="4"/>
      <c r="N37" s="4"/>
      <c r="O37" s="4"/>
      <c r="P37" s="4"/>
      <c r="Q37" s="23" t="s">
        <v>87</v>
      </c>
    </row>
    <row r="38" spans="1:17" ht="17.100000000000001" customHeight="1" x14ac:dyDescent="0.3">
      <c r="A38" s="22" t="s">
        <v>72</v>
      </c>
      <c r="B38" s="23" t="s">
        <v>88</v>
      </c>
      <c r="C38" s="23" t="s">
        <v>48</v>
      </c>
      <c r="D38" s="4">
        <v>50</v>
      </c>
      <c r="E38" s="24">
        <f>IFERROR(VLOOKUP(C38,파나소닉A6규격!$A:$C,3,FALSE),IFERROR(VLOOKUP(C38,파스텍EziServo규격!$A:$C,3,FALSE),""))</f>
        <v>50</v>
      </c>
      <c r="F38" s="4">
        <v>3</v>
      </c>
      <c r="G38" s="4">
        <v>1</v>
      </c>
      <c r="H38" s="4">
        <v>1</v>
      </c>
      <c r="I38" s="4">
        <v>1</v>
      </c>
      <c r="J38" s="25">
        <f t="shared" si="0"/>
        <v>35</v>
      </c>
      <c r="K38" s="4" t="s">
        <v>42</v>
      </c>
      <c r="L38" s="4"/>
      <c r="M38" s="4"/>
      <c r="N38" s="4"/>
      <c r="O38" s="4"/>
      <c r="P38" s="4"/>
      <c r="Q38" s="23" t="s">
        <v>89</v>
      </c>
    </row>
    <row r="39" spans="1:17" ht="17.100000000000001" customHeight="1" x14ac:dyDescent="0.3">
      <c r="A39" s="22" t="s">
        <v>72</v>
      </c>
      <c r="B39" s="23" t="s">
        <v>90</v>
      </c>
      <c r="C39" s="23" t="s">
        <v>48</v>
      </c>
      <c r="D39" s="4">
        <v>50</v>
      </c>
      <c r="E39" s="24">
        <f>IFERROR(VLOOKUP(C39,파나소닉A6규격!$A:$C,3,FALSE),IFERROR(VLOOKUP(C39,파스텍EziServo규격!$A:$C,3,FALSE),""))</f>
        <v>50</v>
      </c>
      <c r="F39" s="4">
        <v>3</v>
      </c>
      <c r="G39" s="4">
        <v>1</v>
      </c>
      <c r="H39" s="4">
        <v>1</v>
      </c>
      <c r="I39" s="4">
        <v>1</v>
      </c>
      <c r="J39" s="25">
        <f t="shared" si="0"/>
        <v>35</v>
      </c>
      <c r="K39" s="4" t="s">
        <v>42</v>
      </c>
      <c r="L39" s="4"/>
      <c r="M39" s="4"/>
      <c r="N39" s="4"/>
      <c r="O39" s="4"/>
      <c r="P39" s="4"/>
      <c r="Q39" s="23" t="s">
        <v>91</v>
      </c>
    </row>
    <row r="40" spans="1:17" ht="17.100000000000001" customHeight="1" x14ac:dyDescent="0.3">
      <c r="A40" s="22" t="s">
        <v>72</v>
      </c>
      <c r="B40" s="23" t="s">
        <v>92</v>
      </c>
      <c r="C40" s="23" t="s">
        <v>86</v>
      </c>
      <c r="D40" s="4">
        <v>200</v>
      </c>
      <c r="E40" s="24">
        <f>IFERROR(VLOOKUP(C40,파나소닉A6규격!$A:$C,3,FALSE),IFERROR(VLOOKUP(C40,파스텍EziServo규격!$A:$C,3,FALSE),""))</f>
        <v>200</v>
      </c>
      <c r="F40" s="4">
        <v>3</v>
      </c>
      <c r="G40" s="4">
        <v>1</v>
      </c>
      <c r="H40" s="4">
        <v>1</v>
      </c>
      <c r="I40" s="4">
        <v>1</v>
      </c>
      <c r="J40" s="25">
        <f t="shared" si="0"/>
        <v>140</v>
      </c>
      <c r="K40" s="4" t="s">
        <v>42</v>
      </c>
      <c r="L40" s="4"/>
      <c r="M40" s="4"/>
      <c r="N40" s="4"/>
      <c r="O40" s="4"/>
      <c r="P40" s="4"/>
      <c r="Q40" s="23" t="s">
        <v>93</v>
      </c>
    </row>
    <row r="41" spans="1:17" ht="17.100000000000001" customHeight="1" x14ac:dyDescent="0.3">
      <c r="A41" s="22" t="s">
        <v>72</v>
      </c>
      <c r="B41" s="23" t="s">
        <v>94</v>
      </c>
      <c r="C41" s="23" t="s">
        <v>48</v>
      </c>
      <c r="D41" s="4">
        <v>50</v>
      </c>
      <c r="E41" s="24">
        <f>IFERROR(VLOOKUP(C41,파나소닉A6규격!$A:$C,3,FALSE),IFERROR(VLOOKUP(C41,파스텍EziServo규격!$A:$C,3,FALSE),""))</f>
        <v>50</v>
      </c>
      <c r="F41" s="4">
        <v>3</v>
      </c>
      <c r="G41" s="4">
        <v>1</v>
      </c>
      <c r="H41" s="4">
        <v>1</v>
      </c>
      <c r="I41" s="4">
        <v>1</v>
      </c>
      <c r="J41" s="25">
        <f t="shared" si="0"/>
        <v>35</v>
      </c>
      <c r="K41" s="4" t="s">
        <v>42</v>
      </c>
      <c r="L41" s="4"/>
      <c r="M41" s="4"/>
      <c r="N41" s="4"/>
      <c r="O41" s="4"/>
      <c r="P41" s="4"/>
      <c r="Q41" s="23" t="s">
        <v>95</v>
      </c>
    </row>
    <row r="42" spans="1:17" ht="17.100000000000001" customHeight="1" x14ac:dyDescent="0.3">
      <c r="A42" s="22" t="s">
        <v>72</v>
      </c>
      <c r="B42" s="23" t="s">
        <v>96</v>
      </c>
      <c r="C42" s="23" t="s">
        <v>48</v>
      </c>
      <c r="D42" s="4">
        <v>50</v>
      </c>
      <c r="E42" s="24">
        <f>IFERROR(VLOOKUP(C42,파나소닉A6규격!$A:$C,3,FALSE),IFERROR(VLOOKUP(C42,파스텍EziServo규격!$A:$C,3,FALSE),""))</f>
        <v>50</v>
      </c>
      <c r="F42" s="4">
        <v>3</v>
      </c>
      <c r="G42" s="4">
        <v>1</v>
      </c>
      <c r="H42" s="4">
        <v>1</v>
      </c>
      <c r="I42" s="4">
        <v>1</v>
      </c>
      <c r="J42" s="25">
        <f t="shared" si="0"/>
        <v>35</v>
      </c>
      <c r="K42" s="4" t="s">
        <v>42</v>
      </c>
      <c r="L42" s="4"/>
      <c r="M42" s="4"/>
      <c r="N42" s="4"/>
      <c r="O42" s="4"/>
      <c r="P42" s="4"/>
      <c r="Q42" s="23" t="s">
        <v>97</v>
      </c>
    </row>
    <row r="43" spans="1:17" ht="17.100000000000001" customHeight="1" x14ac:dyDescent="0.3">
      <c r="A43" s="22" t="s">
        <v>72</v>
      </c>
      <c r="B43" s="23" t="s">
        <v>98</v>
      </c>
      <c r="C43" s="23" t="s">
        <v>86</v>
      </c>
      <c r="D43" s="4">
        <v>200</v>
      </c>
      <c r="E43" s="24">
        <f>IFERROR(VLOOKUP(C43,파나소닉A6규격!$A:$C,3,FALSE),IFERROR(VLOOKUP(C43,파스텍EziServo규격!$A:$C,3,FALSE),""))</f>
        <v>200</v>
      </c>
      <c r="F43" s="4">
        <v>3</v>
      </c>
      <c r="G43" s="4">
        <v>1</v>
      </c>
      <c r="H43" s="4">
        <v>1</v>
      </c>
      <c r="I43" s="4">
        <v>1</v>
      </c>
      <c r="J43" s="25">
        <f t="shared" si="0"/>
        <v>140</v>
      </c>
      <c r="K43" s="4" t="s">
        <v>42</v>
      </c>
      <c r="L43" s="4"/>
      <c r="M43" s="4"/>
      <c r="N43" s="4"/>
      <c r="O43" s="4"/>
      <c r="P43" s="4"/>
      <c r="Q43" s="23" t="s">
        <v>99</v>
      </c>
    </row>
    <row r="44" spans="1:17" ht="17.100000000000001" customHeight="1" x14ac:dyDescent="0.3">
      <c r="A44" s="22" t="s">
        <v>100</v>
      </c>
      <c r="B44" s="23" t="s">
        <v>101</v>
      </c>
      <c r="C44" s="23"/>
      <c r="D44" s="4">
        <v>0</v>
      </c>
      <c r="E44" s="24" t="str">
        <f>IFERROR(VLOOKUP(C44,파나소닉A6규격!$A:$C,3,FALSE),IFERROR(VLOOKUP(C44,파스텍EziServo규격!$A:$C,3,FALSE),""))</f>
        <v/>
      </c>
      <c r="F44" s="4">
        <v>3</v>
      </c>
      <c r="G44" s="4">
        <v>1</v>
      </c>
      <c r="H44" s="4">
        <v>1</v>
      </c>
      <c r="I44" s="4">
        <v>1</v>
      </c>
      <c r="J44" s="25" t="str">
        <f t="shared" si="0"/>
        <v/>
      </c>
      <c r="K44" s="4" t="s">
        <v>42</v>
      </c>
      <c r="L44" s="4"/>
      <c r="M44" s="4"/>
      <c r="N44" s="4"/>
      <c r="O44" s="4"/>
      <c r="P44" s="4"/>
      <c r="Q44" s="23" t="s">
        <v>102</v>
      </c>
    </row>
    <row r="45" spans="1:17" ht="17.100000000000001" customHeight="1" x14ac:dyDescent="0.3">
      <c r="A45" s="22" t="s">
        <v>100</v>
      </c>
      <c r="B45" s="23" t="s">
        <v>103</v>
      </c>
      <c r="C45" s="23"/>
      <c r="D45" s="4">
        <v>0</v>
      </c>
      <c r="E45" s="24" t="str">
        <f>IFERROR(VLOOKUP(C45,파나소닉A6규격!$A:$C,3,FALSE),IFERROR(VLOOKUP(C45,파스텍EziServo규격!$A:$C,3,FALSE),""))</f>
        <v/>
      </c>
      <c r="F45" s="4">
        <v>3</v>
      </c>
      <c r="G45" s="4">
        <v>1</v>
      </c>
      <c r="H45" s="4">
        <v>1</v>
      </c>
      <c r="I45" s="4">
        <v>1</v>
      </c>
      <c r="J45" s="25" t="str">
        <f t="shared" si="0"/>
        <v/>
      </c>
      <c r="K45" s="4" t="s">
        <v>42</v>
      </c>
      <c r="L45" s="4"/>
      <c r="M45" s="4"/>
      <c r="N45" s="4"/>
      <c r="O45" s="4"/>
      <c r="P45" s="4"/>
      <c r="Q45" s="23" t="s">
        <v>102</v>
      </c>
    </row>
    <row r="46" spans="1:17" ht="17.100000000000001" customHeight="1" x14ac:dyDescent="0.3">
      <c r="A46" s="22" t="s">
        <v>100</v>
      </c>
      <c r="B46" s="23" t="s">
        <v>104</v>
      </c>
      <c r="C46" s="23"/>
      <c r="D46" s="4">
        <v>0</v>
      </c>
      <c r="E46" s="24" t="str">
        <f>IFERROR(VLOOKUP(C46,파나소닉A6규격!$A:$C,3,FALSE),IFERROR(VLOOKUP(C46,파스텍EziServo규격!$A:$C,3,FALSE),""))</f>
        <v/>
      </c>
      <c r="F46" s="4">
        <v>3</v>
      </c>
      <c r="G46" s="4">
        <v>1</v>
      </c>
      <c r="H46" s="4">
        <v>1</v>
      </c>
      <c r="I46" s="4">
        <v>1</v>
      </c>
      <c r="J46" s="25" t="str">
        <f t="shared" si="0"/>
        <v/>
      </c>
      <c r="K46" s="4" t="s">
        <v>42</v>
      </c>
      <c r="L46" s="4"/>
      <c r="M46" s="4"/>
      <c r="N46" s="4"/>
      <c r="O46" s="4"/>
      <c r="P46" s="4"/>
      <c r="Q46" s="23" t="s">
        <v>102</v>
      </c>
    </row>
    <row r="47" spans="1:17" ht="17.100000000000001" customHeight="1" x14ac:dyDescent="0.3">
      <c r="A47" s="22" t="s">
        <v>100</v>
      </c>
      <c r="B47" s="23" t="s">
        <v>105</v>
      </c>
      <c r="C47" s="23"/>
      <c r="D47" s="4">
        <v>0</v>
      </c>
      <c r="E47" s="24" t="str">
        <f>IFERROR(VLOOKUP(C47,파나소닉A6규격!$A:$C,3,FALSE),IFERROR(VLOOKUP(C47,파스텍EziServo규격!$A:$C,3,FALSE),""))</f>
        <v/>
      </c>
      <c r="F47" s="4">
        <v>3</v>
      </c>
      <c r="G47" s="4">
        <v>1</v>
      </c>
      <c r="H47" s="4">
        <v>1</v>
      </c>
      <c r="I47" s="4">
        <v>1</v>
      </c>
      <c r="J47" s="25" t="str">
        <f t="shared" si="0"/>
        <v/>
      </c>
      <c r="K47" s="4" t="s">
        <v>42</v>
      </c>
      <c r="L47" s="4"/>
      <c r="M47" s="4"/>
      <c r="N47" s="4"/>
      <c r="O47" s="4"/>
      <c r="P47" s="4"/>
      <c r="Q47" s="23" t="s">
        <v>102</v>
      </c>
    </row>
    <row r="48" spans="1:17" ht="17.100000000000001" customHeight="1" x14ac:dyDescent="0.3">
      <c r="A48" s="22" t="s">
        <v>100</v>
      </c>
      <c r="B48" s="23" t="s">
        <v>106</v>
      </c>
      <c r="C48" s="23"/>
      <c r="D48" s="4">
        <v>0</v>
      </c>
      <c r="E48" s="24" t="str">
        <f>IFERROR(VLOOKUP(C48,파나소닉A6규격!$A:$C,3,FALSE),IFERROR(VLOOKUP(C48,파스텍EziServo규격!$A:$C,3,FALSE),""))</f>
        <v/>
      </c>
      <c r="F48" s="4">
        <v>3</v>
      </c>
      <c r="G48" s="4">
        <v>1</v>
      </c>
      <c r="H48" s="4">
        <v>1</v>
      </c>
      <c r="I48" s="4">
        <v>1</v>
      </c>
      <c r="J48" s="25" t="str">
        <f t="shared" si="0"/>
        <v/>
      </c>
      <c r="K48" s="4" t="s">
        <v>42</v>
      </c>
      <c r="L48" s="4"/>
      <c r="M48" s="4"/>
      <c r="N48" s="4"/>
      <c r="O48" s="4"/>
      <c r="P48" s="4"/>
      <c r="Q48" s="23" t="s">
        <v>102</v>
      </c>
    </row>
    <row r="49" spans="1:17" ht="17.100000000000001" customHeight="1" x14ac:dyDescent="0.3">
      <c r="A49" s="22" t="s">
        <v>100</v>
      </c>
      <c r="B49" s="23" t="s">
        <v>107</v>
      </c>
      <c r="C49" s="23" t="s">
        <v>86</v>
      </c>
      <c r="D49" s="4">
        <v>200</v>
      </c>
      <c r="E49" s="24">
        <f>IFERROR(VLOOKUP(C49,파나소닉A6규격!$A:$C,3,FALSE),IFERROR(VLOOKUP(C49,파스텍EziServo규격!$A:$C,3,FALSE),""))</f>
        <v>200</v>
      </c>
      <c r="F49" s="4">
        <v>3</v>
      </c>
      <c r="G49" s="4">
        <v>1</v>
      </c>
      <c r="H49" s="4">
        <v>1</v>
      </c>
      <c r="I49" s="4">
        <v>1</v>
      </c>
      <c r="J49" s="25">
        <f t="shared" si="0"/>
        <v>140</v>
      </c>
      <c r="K49" s="4" t="s">
        <v>42</v>
      </c>
      <c r="L49" s="4"/>
      <c r="M49" s="4"/>
      <c r="N49" s="4"/>
      <c r="O49" s="4"/>
      <c r="P49" s="4"/>
      <c r="Q49" s="23" t="s">
        <v>108</v>
      </c>
    </row>
    <row r="50" spans="1:17" ht="17.100000000000001" customHeight="1" x14ac:dyDescent="0.3">
      <c r="A50" s="22" t="s">
        <v>100</v>
      </c>
      <c r="B50" s="23" t="s">
        <v>109</v>
      </c>
      <c r="C50" s="23" t="s">
        <v>86</v>
      </c>
      <c r="D50" s="4">
        <v>200</v>
      </c>
      <c r="E50" s="24">
        <f>IFERROR(VLOOKUP(C50,파나소닉A6규격!$A:$C,3,FALSE),IFERROR(VLOOKUP(C50,파스텍EziServo규격!$A:$C,3,FALSE),""))</f>
        <v>200</v>
      </c>
      <c r="F50" s="4">
        <v>3</v>
      </c>
      <c r="G50" s="4">
        <v>1</v>
      </c>
      <c r="H50" s="4">
        <v>1</v>
      </c>
      <c r="I50" s="4">
        <v>1</v>
      </c>
      <c r="J50" s="25">
        <f t="shared" ref="J50:J81" si="1">IF(E50="","",E50*0.7)</f>
        <v>140</v>
      </c>
      <c r="K50" s="4" t="s">
        <v>42</v>
      </c>
      <c r="L50" s="4"/>
      <c r="M50" s="4"/>
      <c r="N50" s="4"/>
      <c r="O50" s="4"/>
      <c r="P50" s="4"/>
      <c r="Q50" s="23" t="s">
        <v>110</v>
      </c>
    </row>
    <row r="51" spans="1:17" ht="17.100000000000001" customHeight="1" x14ac:dyDescent="0.3">
      <c r="A51" s="22" t="s">
        <v>100</v>
      </c>
      <c r="B51" s="23" t="s">
        <v>111</v>
      </c>
      <c r="C51" s="23"/>
      <c r="D51" s="4">
        <v>0</v>
      </c>
      <c r="E51" s="24" t="str">
        <f>IFERROR(VLOOKUP(C51,파나소닉A6규격!$A:$C,3,FALSE),IFERROR(VLOOKUP(C51,파스텍EziServo규격!$A:$C,3,FALSE),""))</f>
        <v/>
      </c>
      <c r="F51" s="4">
        <v>3</v>
      </c>
      <c r="G51" s="4">
        <v>1</v>
      </c>
      <c r="H51" s="4">
        <v>1</v>
      </c>
      <c r="I51" s="4">
        <v>1</v>
      </c>
      <c r="J51" s="25" t="str">
        <f t="shared" si="1"/>
        <v/>
      </c>
      <c r="K51" s="4" t="s">
        <v>42</v>
      </c>
      <c r="L51" s="4"/>
      <c r="M51" s="4"/>
      <c r="N51" s="4"/>
      <c r="O51" s="4"/>
      <c r="P51" s="4"/>
      <c r="Q51" s="23" t="s">
        <v>102</v>
      </c>
    </row>
    <row r="52" spans="1:17" ht="17.100000000000001" customHeight="1" x14ac:dyDescent="0.3">
      <c r="A52" s="22" t="s">
        <v>100</v>
      </c>
      <c r="B52" s="23" t="s">
        <v>112</v>
      </c>
      <c r="C52" s="23"/>
      <c r="D52" s="4">
        <v>0</v>
      </c>
      <c r="E52" s="24" t="str">
        <f>IFERROR(VLOOKUP(C52,파나소닉A6규격!$A:$C,3,FALSE),IFERROR(VLOOKUP(C52,파스텍EziServo규격!$A:$C,3,FALSE),""))</f>
        <v/>
      </c>
      <c r="F52" s="4">
        <v>3</v>
      </c>
      <c r="G52" s="4">
        <v>1</v>
      </c>
      <c r="H52" s="4">
        <v>1</v>
      </c>
      <c r="I52" s="4">
        <v>1</v>
      </c>
      <c r="J52" s="25" t="str">
        <f t="shared" si="1"/>
        <v/>
      </c>
      <c r="K52" s="4" t="s">
        <v>42</v>
      </c>
      <c r="L52" s="4"/>
      <c r="M52" s="4"/>
      <c r="N52" s="4"/>
      <c r="O52" s="4"/>
      <c r="P52" s="4"/>
      <c r="Q52" s="23" t="s">
        <v>102</v>
      </c>
    </row>
    <row r="53" spans="1:17" ht="17.100000000000001" customHeight="1" x14ac:dyDescent="0.3">
      <c r="A53" s="22" t="s">
        <v>100</v>
      </c>
      <c r="B53" s="23" t="s">
        <v>113</v>
      </c>
      <c r="C53" s="23"/>
      <c r="D53" s="4">
        <v>0</v>
      </c>
      <c r="E53" s="24" t="str">
        <f>IFERROR(VLOOKUP(C53,파나소닉A6규격!$A:$C,3,FALSE),IFERROR(VLOOKUP(C53,파스텍EziServo규격!$A:$C,3,FALSE),""))</f>
        <v/>
      </c>
      <c r="F53" s="4">
        <v>3</v>
      </c>
      <c r="G53" s="4">
        <v>1</v>
      </c>
      <c r="H53" s="4">
        <v>1</v>
      </c>
      <c r="I53" s="4">
        <v>1</v>
      </c>
      <c r="J53" s="25" t="str">
        <f t="shared" si="1"/>
        <v/>
      </c>
      <c r="K53" s="4" t="s">
        <v>42</v>
      </c>
      <c r="L53" s="4"/>
      <c r="M53" s="4"/>
      <c r="N53" s="4"/>
      <c r="O53" s="4"/>
      <c r="P53" s="4"/>
      <c r="Q53" s="23" t="s">
        <v>102</v>
      </c>
    </row>
    <row r="54" spans="1:17" ht="17.100000000000001" customHeight="1" x14ac:dyDescent="0.3">
      <c r="A54" s="22" t="s">
        <v>100</v>
      </c>
      <c r="B54" s="23" t="s">
        <v>114</v>
      </c>
      <c r="C54" s="23"/>
      <c r="D54" s="4">
        <v>0</v>
      </c>
      <c r="E54" s="24" t="str">
        <f>IFERROR(VLOOKUP(C54,파나소닉A6규격!$A:$C,3,FALSE),IFERROR(VLOOKUP(C54,파스텍EziServo규격!$A:$C,3,FALSE),""))</f>
        <v/>
      </c>
      <c r="F54" s="4">
        <v>3</v>
      </c>
      <c r="G54" s="4">
        <v>1</v>
      </c>
      <c r="H54" s="4">
        <v>1</v>
      </c>
      <c r="I54" s="4">
        <v>1</v>
      </c>
      <c r="J54" s="25" t="str">
        <f t="shared" si="1"/>
        <v/>
      </c>
      <c r="K54" s="4" t="s">
        <v>42</v>
      </c>
      <c r="L54" s="4"/>
      <c r="M54" s="4"/>
      <c r="N54" s="4"/>
      <c r="O54" s="4"/>
      <c r="P54" s="4"/>
      <c r="Q54" s="23" t="s">
        <v>102</v>
      </c>
    </row>
    <row r="55" spans="1:17" ht="17.100000000000001" customHeight="1" x14ac:dyDescent="0.3">
      <c r="A55" s="22" t="s">
        <v>100</v>
      </c>
      <c r="B55" s="23" t="s">
        <v>115</v>
      </c>
      <c r="C55" s="23"/>
      <c r="D55" s="4">
        <v>0</v>
      </c>
      <c r="E55" s="24" t="str">
        <f>IFERROR(VLOOKUP(C55,파나소닉A6규격!$A:$C,3,FALSE),IFERROR(VLOOKUP(C55,파스텍EziServo규격!$A:$C,3,FALSE),""))</f>
        <v/>
      </c>
      <c r="F55" s="4">
        <v>3</v>
      </c>
      <c r="G55" s="4">
        <v>1</v>
      </c>
      <c r="H55" s="4">
        <v>1</v>
      </c>
      <c r="I55" s="4">
        <v>1</v>
      </c>
      <c r="J55" s="25" t="str">
        <f t="shared" si="1"/>
        <v/>
      </c>
      <c r="K55" s="4" t="s">
        <v>42</v>
      </c>
      <c r="L55" s="4"/>
      <c r="M55" s="4"/>
      <c r="N55" s="4"/>
      <c r="O55" s="4"/>
      <c r="P55" s="4"/>
      <c r="Q55" s="23" t="s">
        <v>102</v>
      </c>
    </row>
    <row r="56" spans="1:17" ht="17.100000000000001" customHeight="1" x14ac:dyDescent="0.3">
      <c r="A56" s="22" t="s">
        <v>100</v>
      </c>
      <c r="B56" s="23" t="s">
        <v>116</v>
      </c>
      <c r="C56" s="23"/>
      <c r="D56" s="4">
        <v>0</v>
      </c>
      <c r="E56" s="24" t="str">
        <f>IFERROR(VLOOKUP(C56,파나소닉A6규격!$A:$C,3,FALSE),IFERROR(VLOOKUP(C56,파스텍EziServo규격!$A:$C,3,FALSE),""))</f>
        <v/>
      </c>
      <c r="F56" s="4">
        <v>3</v>
      </c>
      <c r="G56" s="4">
        <v>1</v>
      </c>
      <c r="H56" s="4">
        <v>1</v>
      </c>
      <c r="I56" s="4">
        <v>1</v>
      </c>
      <c r="J56" s="25" t="str">
        <f t="shared" si="1"/>
        <v/>
      </c>
      <c r="K56" s="4" t="s">
        <v>42</v>
      </c>
      <c r="L56" s="4"/>
      <c r="M56" s="4"/>
      <c r="N56" s="4"/>
      <c r="O56" s="4"/>
      <c r="P56" s="4"/>
      <c r="Q56" s="23" t="s">
        <v>102</v>
      </c>
    </row>
    <row r="57" spans="1:17" ht="17.100000000000001" customHeight="1" x14ac:dyDescent="0.3">
      <c r="A57" s="22" t="s">
        <v>100</v>
      </c>
      <c r="B57" s="23" t="s">
        <v>117</v>
      </c>
      <c r="C57" s="23"/>
      <c r="D57" s="4">
        <v>0</v>
      </c>
      <c r="E57" s="24" t="str">
        <f>IFERROR(VLOOKUP(C57,파나소닉A6규격!$A:$C,3,FALSE),IFERROR(VLOOKUP(C57,파스텍EziServo규격!$A:$C,3,FALSE),""))</f>
        <v/>
      </c>
      <c r="F57" s="4">
        <v>3</v>
      </c>
      <c r="G57" s="4">
        <v>1</v>
      </c>
      <c r="H57" s="4">
        <v>1</v>
      </c>
      <c r="I57" s="4">
        <v>1</v>
      </c>
      <c r="J57" s="25" t="str">
        <f t="shared" si="1"/>
        <v/>
      </c>
      <c r="K57" s="4" t="s">
        <v>42</v>
      </c>
      <c r="L57" s="4"/>
      <c r="M57" s="4"/>
      <c r="N57" s="4"/>
      <c r="O57" s="4"/>
      <c r="P57" s="4"/>
      <c r="Q57" s="23" t="s">
        <v>102</v>
      </c>
    </row>
    <row r="58" spans="1:17" ht="17.100000000000001" customHeight="1" x14ac:dyDescent="0.3">
      <c r="A58" s="22" t="s">
        <v>100</v>
      </c>
      <c r="B58" s="23" t="s">
        <v>118</v>
      </c>
      <c r="C58" s="23"/>
      <c r="D58" s="4">
        <v>0</v>
      </c>
      <c r="E58" s="24" t="str">
        <f>IFERROR(VLOOKUP(C58,파나소닉A6규격!$A:$C,3,FALSE),IFERROR(VLOOKUP(C58,파스텍EziServo규격!$A:$C,3,FALSE),""))</f>
        <v/>
      </c>
      <c r="F58" s="4">
        <v>3</v>
      </c>
      <c r="G58" s="4">
        <v>1</v>
      </c>
      <c r="H58" s="4">
        <v>1</v>
      </c>
      <c r="I58" s="4">
        <v>1</v>
      </c>
      <c r="J58" s="25" t="str">
        <f t="shared" si="1"/>
        <v/>
      </c>
      <c r="K58" s="4" t="s">
        <v>42</v>
      </c>
      <c r="L58" s="4"/>
      <c r="M58" s="4"/>
      <c r="N58" s="4"/>
      <c r="O58" s="4"/>
      <c r="P58" s="4"/>
      <c r="Q58" s="23" t="s">
        <v>102</v>
      </c>
    </row>
    <row r="59" spans="1:17" ht="17.100000000000001" customHeight="1" x14ac:dyDescent="0.3">
      <c r="A59" s="22" t="s">
        <v>100</v>
      </c>
      <c r="B59" s="23" t="s">
        <v>119</v>
      </c>
      <c r="C59" s="23"/>
      <c r="D59" s="4">
        <v>0</v>
      </c>
      <c r="E59" s="24" t="str">
        <f>IFERROR(VLOOKUP(C59,파나소닉A6규격!$A:$C,3,FALSE),IFERROR(VLOOKUP(C59,파스텍EziServo규격!$A:$C,3,FALSE),""))</f>
        <v/>
      </c>
      <c r="F59" s="4">
        <v>3</v>
      </c>
      <c r="G59" s="4">
        <v>1</v>
      </c>
      <c r="H59" s="4">
        <v>1</v>
      </c>
      <c r="I59" s="4">
        <v>1</v>
      </c>
      <c r="J59" s="25" t="str">
        <f t="shared" si="1"/>
        <v/>
      </c>
      <c r="K59" s="4" t="s">
        <v>42</v>
      </c>
      <c r="L59" s="4"/>
      <c r="M59" s="4"/>
      <c r="N59" s="4"/>
      <c r="O59" s="4"/>
      <c r="P59" s="4"/>
      <c r="Q59" s="23" t="s">
        <v>102</v>
      </c>
    </row>
    <row r="60" spans="1:17" ht="17.100000000000001" customHeight="1" x14ac:dyDescent="0.3">
      <c r="A60" s="22" t="s">
        <v>100</v>
      </c>
      <c r="B60" s="23" t="s">
        <v>120</v>
      </c>
      <c r="C60" s="23" t="s">
        <v>57</v>
      </c>
      <c r="D60" s="4">
        <v>750</v>
      </c>
      <c r="E60" s="24">
        <f>IFERROR(VLOOKUP(C60,파나소닉A6규격!$A:$C,3,FALSE),IFERROR(VLOOKUP(C60,파스텍EziServo규격!$A:$C,3,FALSE),""))</f>
        <v>750</v>
      </c>
      <c r="F60" s="4">
        <v>3</v>
      </c>
      <c r="G60" s="4">
        <v>1</v>
      </c>
      <c r="H60" s="4">
        <v>1</v>
      </c>
      <c r="I60" s="4">
        <v>1</v>
      </c>
      <c r="J60" s="25">
        <f t="shared" si="1"/>
        <v>525</v>
      </c>
      <c r="K60" s="4" t="s">
        <v>42</v>
      </c>
      <c r="L60" s="4"/>
      <c r="M60" s="4"/>
      <c r="N60" s="4"/>
      <c r="O60" s="4"/>
      <c r="P60" s="4"/>
      <c r="Q60" s="23" t="s">
        <v>121</v>
      </c>
    </row>
    <row r="61" spans="1:17" ht="17.100000000000001" customHeight="1" x14ac:dyDescent="0.3">
      <c r="A61" s="22" t="s">
        <v>100</v>
      </c>
      <c r="B61" s="23" t="s">
        <v>122</v>
      </c>
      <c r="C61" s="23"/>
      <c r="D61" s="4">
        <v>0</v>
      </c>
      <c r="E61" s="24" t="str">
        <f>IFERROR(VLOOKUP(C61,파나소닉A6규격!$A:$C,3,FALSE),IFERROR(VLOOKUP(C61,파스텍EziServo규격!$A:$C,3,FALSE),""))</f>
        <v/>
      </c>
      <c r="F61" s="4">
        <v>3</v>
      </c>
      <c r="G61" s="4">
        <v>1</v>
      </c>
      <c r="H61" s="4">
        <v>1</v>
      </c>
      <c r="I61" s="4">
        <v>1</v>
      </c>
      <c r="J61" s="25" t="str">
        <f t="shared" si="1"/>
        <v/>
      </c>
      <c r="K61" s="4" t="s">
        <v>42</v>
      </c>
      <c r="L61" s="4"/>
      <c r="M61" s="4"/>
      <c r="N61" s="4"/>
      <c r="O61" s="4"/>
      <c r="P61" s="4"/>
      <c r="Q61" s="23" t="s">
        <v>102</v>
      </c>
    </row>
    <row r="62" spans="1:17" ht="17.100000000000001" customHeight="1" x14ac:dyDescent="0.3">
      <c r="A62" s="22" t="s">
        <v>100</v>
      </c>
      <c r="B62" s="23" t="s">
        <v>123</v>
      </c>
      <c r="C62" s="23"/>
      <c r="D62" s="4">
        <v>0</v>
      </c>
      <c r="E62" s="24" t="str">
        <f>IFERROR(VLOOKUP(C62,파나소닉A6규격!$A:$C,3,FALSE),IFERROR(VLOOKUP(C62,파스텍EziServo규격!$A:$C,3,FALSE),""))</f>
        <v/>
      </c>
      <c r="F62" s="4">
        <v>3</v>
      </c>
      <c r="G62" s="4">
        <v>1</v>
      </c>
      <c r="H62" s="4">
        <v>1</v>
      </c>
      <c r="I62" s="4">
        <v>1</v>
      </c>
      <c r="J62" s="25" t="str">
        <f t="shared" si="1"/>
        <v/>
      </c>
      <c r="K62" s="4" t="s">
        <v>42</v>
      </c>
      <c r="L62" s="4"/>
      <c r="M62" s="4"/>
      <c r="N62" s="4"/>
      <c r="O62" s="4"/>
      <c r="P62" s="4"/>
      <c r="Q62" s="23" t="s">
        <v>102</v>
      </c>
    </row>
    <row r="63" spans="1:17" ht="17.100000000000001" customHeight="1" x14ac:dyDescent="0.3">
      <c r="A63" s="22" t="s">
        <v>100</v>
      </c>
      <c r="B63" s="23" t="s">
        <v>124</v>
      </c>
      <c r="C63" s="23"/>
      <c r="D63" s="4">
        <v>0</v>
      </c>
      <c r="E63" s="24" t="str">
        <f>IFERROR(VLOOKUP(C63,파나소닉A6규격!$A:$C,3,FALSE),IFERROR(VLOOKUP(C63,파스텍EziServo규격!$A:$C,3,FALSE),""))</f>
        <v/>
      </c>
      <c r="F63" s="4">
        <v>3</v>
      </c>
      <c r="G63" s="4">
        <v>1</v>
      </c>
      <c r="H63" s="4">
        <v>1</v>
      </c>
      <c r="I63" s="4">
        <v>1</v>
      </c>
      <c r="J63" s="25" t="str">
        <f t="shared" si="1"/>
        <v/>
      </c>
      <c r="K63" s="4" t="s">
        <v>42</v>
      </c>
      <c r="L63" s="4"/>
      <c r="M63" s="4"/>
      <c r="N63" s="4"/>
      <c r="O63" s="4"/>
      <c r="P63" s="4"/>
      <c r="Q63" s="23" t="s">
        <v>102</v>
      </c>
    </row>
    <row r="64" spans="1:17" ht="17.100000000000001" customHeight="1" x14ac:dyDescent="0.3">
      <c r="A64" s="22" t="s">
        <v>100</v>
      </c>
      <c r="B64" s="23" t="s">
        <v>125</v>
      </c>
      <c r="C64" s="23"/>
      <c r="D64" s="4">
        <v>0</v>
      </c>
      <c r="E64" s="24" t="str">
        <f>IFERROR(VLOOKUP(C64,파나소닉A6규격!$A:$C,3,FALSE),IFERROR(VLOOKUP(C64,파스텍EziServo규격!$A:$C,3,FALSE),""))</f>
        <v/>
      </c>
      <c r="F64" s="4">
        <v>3</v>
      </c>
      <c r="G64" s="4">
        <v>1</v>
      </c>
      <c r="H64" s="4">
        <v>1</v>
      </c>
      <c r="I64" s="4">
        <v>1</v>
      </c>
      <c r="J64" s="25" t="str">
        <f t="shared" si="1"/>
        <v/>
      </c>
      <c r="K64" s="4" t="s">
        <v>42</v>
      </c>
      <c r="L64" s="4"/>
      <c r="M64" s="4"/>
      <c r="N64" s="4"/>
      <c r="O64" s="4"/>
      <c r="P64" s="4"/>
      <c r="Q64" s="23" t="s">
        <v>102</v>
      </c>
    </row>
    <row r="65" spans="1:17" ht="17.100000000000001" customHeight="1" x14ac:dyDescent="0.3">
      <c r="A65" s="22" t="s">
        <v>126</v>
      </c>
      <c r="B65" s="23" t="s">
        <v>127</v>
      </c>
      <c r="C65" s="23"/>
      <c r="D65" s="4">
        <v>0</v>
      </c>
      <c r="E65" s="24" t="str">
        <f>IFERROR(VLOOKUP(C65,파나소닉A6규격!$A:$C,3,FALSE),IFERROR(VLOOKUP(C65,파스텍EziServo규격!$A:$C,3,FALSE),""))</f>
        <v/>
      </c>
      <c r="F65" s="4">
        <v>3</v>
      </c>
      <c r="G65" s="4">
        <v>1</v>
      </c>
      <c r="H65" s="4">
        <v>1</v>
      </c>
      <c r="I65" s="4">
        <v>1</v>
      </c>
      <c r="J65" s="25" t="str">
        <f t="shared" si="1"/>
        <v/>
      </c>
      <c r="K65" s="4" t="s">
        <v>42</v>
      </c>
      <c r="L65" s="4"/>
      <c r="M65" s="4"/>
      <c r="N65" s="4"/>
      <c r="O65" s="4"/>
      <c r="P65" s="4"/>
      <c r="Q65" s="23" t="s">
        <v>102</v>
      </c>
    </row>
    <row r="66" spans="1:17" ht="17.100000000000001" customHeight="1" x14ac:dyDescent="0.3">
      <c r="A66" s="22" t="s">
        <v>126</v>
      </c>
      <c r="B66" s="23" t="s">
        <v>128</v>
      </c>
      <c r="C66" s="23"/>
      <c r="D66" s="4">
        <v>0</v>
      </c>
      <c r="E66" s="24" t="str">
        <f>IFERROR(VLOOKUP(C66,파나소닉A6규격!$A:$C,3,FALSE),IFERROR(VLOOKUP(C66,파스텍EziServo규격!$A:$C,3,FALSE),""))</f>
        <v/>
      </c>
      <c r="F66" s="4">
        <v>3</v>
      </c>
      <c r="G66" s="4">
        <v>1</v>
      </c>
      <c r="H66" s="4">
        <v>1</v>
      </c>
      <c r="I66" s="4">
        <v>1</v>
      </c>
      <c r="J66" s="25" t="str">
        <f t="shared" si="1"/>
        <v/>
      </c>
      <c r="K66" s="4" t="s">
        <v>42</v>
      </c>
      <c r="L66" s="4"/>
      <c r="M66" s="4"/>
      <c r="N66" s="4"/>
      <c r="O66" s="4"/>
      <c r="P66" s="4"/>
      <c r="Q66" s="23" t="s">
        <v>102</v>
      </c>
    </row>
    <row r="67" spans="1:17" ht="17.100000000000001" customHeight="1" x14ac:dyDescent="0.3">
      <c r="A67" s="22" t="s">
        <v>126</v>
      </c>
      <c r="B67" s="23" t="s">
        <v>129</v>
      </c>
      <c r="C67" s="23"/>
      <c r="D67" s="4">
        <v>0</v>
      </c>
      <c r="E67" s="24" t="str">
        <f>IFERROR(VLOOKUP(C67,파나소닉A6규격!$A:$C,3,FALSE),IFERROR(VLOOKUP(C67,파스텍EziServo규격!$A:$C,3,FALSE),""))</f>
        <v/>
      </c>
      <c r="F67" s="4">
        <v>3</v>
      </c>
      <c r="G67" s="4">
        <v>1</v>
      </c>
      <c r="H67" s="4">
        <v>1</v>
      </c>
      <c r="I67" s="4">
        <v>1</v>
      </c>
      <c r="J67" s="25" t="str">
        <f t="shared" si="1"/>
        <v/>
      </c>
      <c r="K67" s="4" t="s">
        <v>42</v>
      </c>
      <c r="L67" s="4"/>
      <c r="M67" s="4"/>
      <c r="N67" s="4"/>
      <c r="O67" s="4"/>
      <c r="P67" s="4"/>
      <c r="Q67" s="23" t="s">
        <v>102</v>
      </c>
    </row>
    <row r="68" spans="1:17" ht="17.100000000000001" customHeight="1" x14ac:dyDescent="0.3">
      <c r="A68" s="22" t="s">
        <v>126</v>
      </c>
      <c r="B68" s="23" t="s">
        <v>130</v>
      </c>
      <c r="C68" s="23"/>
      <c r="D68" s="4">
        <v>0</v>
      </c>
      <c r="E68" s="24" t="str">
        <f>IFERROR(VLOOKUP(C68,파나소닉A6규격!$A:$C,3,FALSE),IFERROR(VLOOKUP(C68,파스텍EziServo규격!$A:$C,3,FALSE),""))</f>
        <v/>
      </c>
      <c r="F68" s="4">
        <v>3</v>
      </c>
      <c r="G68" s="4">
        <v>1</v>
      </c>
      <c r="H68" s="4">
        <v>1</v>
      </c>
      <c r="I68" s="4">
        <v>1</v>
      </c>
      <c r="J68" s="25" t="str">
        <f t="shared" si="1"/>
        <v/>
      </c>
      <c r="K68" s="4" t="s">
        <v>42</v>
      </c>
      <c r="L68" s="4"/>
      <c r="M68" s="4"/>
      <c r="N68" s="4"/>
      <c r="O68" s="4"/>
      <c r="P68" s="4"/>
      <c r="Q68" s="23" t="s">
        <v>102</v>
      </c>
    </row>
    <row r="69" spans="1:17" ht="17.100000000000001" customHeight="1" x14ac:dyDescent="0.3">
      <c r="A69" s="22" t="s">
        <v>126</v>
      </c>
      <c r="B69" s="23" t="s">
        <v>131</v>
      </c>
      <c r="C69" s="23"/>
      <c r="D69" s="4">
        <v>0</v>
      </c>
      <c r="E69" s="24" t="str">
        <f>IFERROR(VLOOKUP(C69,파나소닉A6규격!$A:$C,3,FALSE),IFERROR(VLOOKUP(C69,파스텍EziServo규격!$A:$C,3,FALSE),""))</f>
        <v/>
      </c>
      <c r="F69" s="4">
        <v>3</v>
      </c>
      <c r="G69" s="4">
        <v>1</v>
      </c>
      <c r="H69" s="4">
        <v>1</v>
      </c>
      <c r="I69" s="4">
        <v>1</v>
      </c>
      <c r="J69" s="25" t="str">
        <f t="shared" si="1"/>
        <v/>
      </c>
      <c r="K69" s="4" t="s">
        <v>42</v>
      </c>
      <c r="L69" s="4"/>
      <c r="M69" s="4"/>
      <c r="N69" s="4"/>
      <c r="O69" s="4"/>
      <c r="P69" s="4"/>
      <c r="Q69" s="23" t="s">
        <v>102</v>
      </c>
    </row>
    <row r="70" spans="1:17" ht="17.100000000000001" customHeight="1" x14ac:dyDescent="0.3">
      <c r="A70" s="22" t="s">
        <v>126</v>
      </c>
      <c r="B70" s="23" t="s">
        <v>132</v>
      </c>
      <c r="C70" s="23"/>
      <c r="D70" s="4">
        <v>0</v>
      </c>
      <c r="E70" s="24" t="str">
        <f>IFERROR(VLOOKUP(C70,파나소닉A6규격!$A:$C,3,FALSE),IFERROR(VLOOKUP(C70,파스텍EziServo규격!$A:$C,3,FALSE),""))</f>
        <v/>
      </c>
      <c r="F70" s="4">
        <v>3</v>
      </c>
      <c r="G70" s="4">
        <v>1</v>
      </c>
      <c r="H70" s="4">
        <v>1</v>
      </c>
      <c r="I70" s="4">
        <v>1</v>
      </c>
      <c r="J70" s="25" t="str">
        <f t="shared" si="1"/>
        <v/>
      </c>
      <c r="K70" s="4" t="s">
        <v>42</v>
      </c>
      <c r="L70" s="4"/>
      <c r="M70" s="4"/>
      <c r="N70" s="4"/>
      <c r="O70" s="4"/>
      <c r="P70" s="4"/>
      <c r="Q70" s="23" t="s">
        <v>102</v>
      </c>
    </row>
    <row r="71" spans="1:17" ht="17.100000000000001" customHeight="1" x14ac:dyDescent="0.3">
      <c r="A71" s="22" t="s">
        <v>126</v>
      </c>
      <c r="B71" s="23" t="s">
        <v>133</v>
      </c>
      <c r="C71" s="23"/>
      <c r="D71" s="4">
        <v>0</v>
      </c>
      <c r="E71" s="24" t="str">
        <f>IFERROR(VLOOKUP(C71,파나소닉A6규격!$A:$C,3,FALSE),IFERROR(VLOOKUP(C71,파스텍EziServo규격!$A:$C,3,FALSE),""))</f>
        <v/>
      </c>
      <c r="F71" s="4">
        <v>3</v>
      </c>
      <c r="G71" s="4">
        <v>1</v>
      </c>
      <c r="H71" s="4">
        <v>1</v>
      </c>
      <c r="I71" s="4">
        <v>1</v>
      </c>
      <c r="J71" s="25" t="str">
        <f t="shared" si="1"/>
        <v/>
      </c>
      <c r="K71" s="4" t="s">
        <v>42</v>
      </c>
      <c r="L71" s="4"/>
      <c r="M71" s="4"/>
      <c r="N71" s="4"/>
      <c r="O71" s="4"/>
      <c r="P71" s="4"/>
      <c r="Q71" s="23" t="s">
        <v>102</v>
      </c>
    </row>
    <row r="72" spans="1:17" ht="17.100000000000001" customHeight="1" x14ac:dyDescent="0.3">
      <c r="A72" s="22" t="s">
        <v>126</v>
      </c>
      <c r="B72" s="23" t="s">
        <v>134</v>
      </c>
      <c r="C72" s="23"/>
      <c r="D72" s="4">
        <v>0</v>
      </c>
      <c r="E72" s="24" t="str">
        <f>IFERROR(VLOOKUP(C72,파나소닉A6규격!$A:$C,3,FALSE),IFERROR(VLOOKUP(C72,파스텍EziServo규격!$A:$C,3,FALSE),""))</f>
        <v/>
      </c>
      <c r="F72" s="4">
        <v>3</v>
      </c>
      <c r="G72" s="4">
        <v>1</v>
      </c>
      <c r="H72" s="4">
        <v>1</v>
      </c>
      <c r="I72" s="4">
        <v>1</v>
      </c>
      <c r="J72" s="25" t="str">
        <f t="shared" si="1"/>
        <v/>
      </c>
      <c r="K72" s="4" t="s">
        <v>42</v>
      </c>
      <c r="L72" s="4"/>
      <c r="M72" s="4"/>
      <c r="N72" s="4"/>
      <c r="O72" s="4"/>
      <c r="P72" s="4"/>
      <c r="Q72" s="23" t="s">
        <v>102</v>
      </c>
    </row>
    <row r="73" spans="1:17" ht="17.100000000000001" customHeight="1" x14ac:dyDescent="0.3">
      <c r="A73" s="22" t="s">
        <v>126</v>
      </c>
      <c r="B73" s="23" t="s">
        <v>135</v>
      </c>
      <c r="C73" s="23"/>
      <c r="D73" s="4">
        <v>0</v>
      </c>
      <c r="E73" s="24" t="str">
        <f>IFERROR(VLOOKUP(C73,파나소닉A6규격!$A:$C,3,FALSE),IFERROR(VLOOKUP(C73,파스텍EziServo규격!$A:$C,3,FALSE),""))</f>
        <v/>
      </c>
      <c r="F73" s="4">
        <v>3</v>
      </c>
      <c r="G73" s="4">
        <v>1</v>
      </c>
      <c r="H73" s="4">
        <v>1</v>
      </c>
      <c r="I73" s="4">
        <v>1</v>
      </c>
      <c r="J73" s="25" t="str">
        <f t="shared" si="1"/>
        <v/>
      </c>
      <c r="K73" s="4" t="s">
        <v>42</v>
      </c>
      <c r="L73" s="4"/>
      <c r="M73" s="4"/>
      <c r="N73" s="4"/>
      <c r="O73" s="4"/>
      <c r="P73" s="4"/>
      <c r="Q73" s="23" t="s">
        <v>102</v>
      </c>
    </row>
    <row r="74" spans="1:17" ht="17.100000000000001" customHeight="1" x14ac:dyDescent="0.3">
      <c r="A74" s="22" t="s">
        <v>126</v>
      </c>
      <c r="B74" s="23" t="s">
        <v>136</v>
      </c>
      <c r="C74" s="23"/>
      <c r="D74" s="4">
        <v>0</v>
      </c>
      <c r="E74" s="24" t="str">
        <f>IFERROR(VLOOKUP(C74,파나소닉A6규격!$A:$C,3,FALSE),IFERROR(VLOOKUP(C74,파스텍EziServo규격!$A:$C,3,FALSE),""))</f>
        <v/>
      </c>
      <c r="F74" s="4">
        <v>3</v>
      </c>
      <c r="G74" s="4">
        <v>1</v>
      </c>
      <c r="H74" s="4">
        <v>1</v>
      </c>
      <c r="I74" s="4">
        <v>1</v>
      </c>
      <c r="J74" s="25" t="str">
        <f t="shared" si="1"/>
        <v/>
      </c>
      <c r="K74" s="4" t="s">
        <v>42</v>
      </c>
      <c r="L74" s="4"/>
      <c r="M74" s="4"/>
      <c r="N74" s="4"/>
      <c r="O74" s="4"/>
      <c r="P74" s="4"/>
      <c r="Q74" s="23" t="s">
        <v>102</v>
      </c>
    </row>
    <row r="75" spans="1:17" ht="17.100000000000001" customHeight="1" x14ac:dyDescent="0.3">
      <c r="A75" s="22" t="s">
        <v>126</v>
      </c>
      <c r="B75" s="23" t="s">
        <v>137</v>
      </c>
      <c r="C75" s="23"/>
      <c r="D75" s="4">
        <v>0</v>
      </c>
      <c r="E75" s="24" t="str">
        <f>IFERROR(VLOOKUP(C75,파나소닉A6규격!$A:$C,3,FALSE),IFERROR(VLOOKUP(C75,파스텍EziServo규격!$A:$C,3,FALSE),""))</f>
        <v/>
      </c>
      <c r="F75" s="4">
        <v>3</v>
      </c>
      <c r="G75" s="4">
        <v>1</v>
      </c>
      <c r="H75" s="4">
        <v>1</v>
      </c>
      <c r="I75" s="4">
        <v>1</v>
      </c>
      <c r="J75" s="25" t="str">
        <f t="shared" si="1"/>
        <v/>
      </c>
      <c r="K75" s="4" t="s">
        <v>42</v>
      </c>
      <c r="L75" s="4"/>
      <c r="M75" s="4"/>
      <c r="N75" s="4"/>
      <c r="O75" s="4"/>
      <c r="P75" s="4"/>
      <c r="Q75" s="23" t="s">
        <v>102</v>
      </c>
    </row>
    <row r="76" spans="1:17" ht="17.100000000000001" customHeight="1" x14ac:dyDescent="0.3">
      <c r="A76" s="22" t="s">
        <v>126</v>
      </c>
      <c r="B76" s="23" t="s">
        <v>138</v>
      </c>
      <c r="C76" s="23"/>
      <c r="D76" s="4">
        <v>0</v>
      </c>
      <c r="E76" s="24" t="str">
        <f>IFERROR(VLOOKUP(C76,파나소닉A6규격!$A:$C,3,FALSE),IFERROR(VLOOKUP(C76,파스텍EziServo규격!$A:$C,3,FALSE),""))</f>
        <v/>
      </c>
      <c r="F76" s="4">
        <v>3</v>
      </c>
      <c r="G76" s="4">
        <v>1</v>
      </c>
      <c r="H76" s="4">
        <v>1</v>
      </c>
      <c r="I76" s="4">
        <v>1</v>
      </c>
      <c r="J76" s="25" t="str">
        <f t="shared" si="1"/>
        <v/>
      </c>
      <c r="K76" s="4" t="s">
        <v>42</v>
      </c>
      <c r="L76" s="4"/>
      <c r="M76" s="4"/>
      <c r="N76" s="4"/>
      <c r="O76" s="4"/>
      <c r="P76" s="4"/>
      <c r="Q76" s="23" t="s">
        <v>102</v>
      </c>
    </row>
    <row r="77" spans="1:17" ht="17.100000000000001" customHeight="1" x14ac:dyDescent="0.3">
      <c r="A77" s="22" t="s">
        <v>126</v>
      </c>
      <c r="B77" s="23" t="s">
        <v>139</v>
      </c>
      <c r="C77" s="23"/>
      <c r="D77" s="4">
        <v>0</v>
      </c>
      <c r="E77" s="24" t="str">
        <f>IFERROR(VLOOKUP(C77,파나소닉A6규격!$A:$C,3,FALSE),IFERROR(VLOOKUP(C77,파스텍EziServo규격!$A:$C,3,FALSE),""))</f>
        <v/>
      </c>
      <c r="F77" s="4">
        <v>3</v>
      </c>
      <c r="G77" s="4">
        <v>1</v>
      </c>
      <c r="H77" s="4">
        <v>1</v>
      </c>
      <c r="I77" s="4">
        <v>1</v>
      </c>
      <c r="J77" s="25" t="str">
        <f t="shared" si="1"/>
        <v/>
      </c>
      <c r="K77" s="4" t="s">
        <v>42</v>
      </c>
      <c r="L77" s="4"/>
      <c r="M77" s="4"/>
      <c r="N77" s="4"/>
      <c r="O77" s="4"/>
      <c r="P77" s="4"/>
      <c r="Q77" s="23" t="s">
        <v>102</v>
      </c>
    </row>
    <row r="78" spans="1:17" ht="17.100000000000001" customHeight="1" x14ac:dyDescent="0.3">
      <c r="A78" s="22" t="s">
        <v>126</v>
      </c>
      <c r="B78" s="23" t="s">
        <v>140</v>
      </c>
      <c r="C78" s="23" t="s">
        <v>41</v>
      </c>
      <c r="D78" s="4">
        <v>1000</v>
      </c>
      <c r="E78" s="24">
        <f>IFERROR(VLOOKUP(C78,파나소닉A6규격!$A:$C,3,FALSE),IFERROR(VLOOKUP(C78,파스텍EziServo규격!$A:$C,3,FALSE),""))</f>
        <v>1000</v>
      </c>
      <c r="F78" s="4">
        <v>3</v>
      </c>
      <c r="G78" s="4">
        <v>1</v>
      </c>
      <c r="H78" s="4">
        <v>1</v>
      </c>
      <c r="I78" s="4">
        <v>1</v>
      </c>
      <c r="J78" s="25">
        <f t="shared" si="1"/>
        <v>700</v>
      </c>
      <c r="K78" s="4" t="s">
        <v>42</v>
      </c>
      <c r="L78" s="4"/>
      <c r="M78" s="4"/>
      <c r="N78" s="4"/>
      <c r="O78" s="4"/>
      <c r="P78" s="4"/>
      <c r="Q78" s="23" t="s">
        <v>141</v>
      </c>
    </row>
    <row r="79" spans="1:17" ht="17.100000000000001" customHeight="1" x14ac:dyDescent="0.3">
      <c r="A79" s="22" t="s">
        <v>126</v>
      </c>
      <c r="B79" s="23" t="s">
        <v>142</v>
      </c>
      <c r="C79" s="23" t="s">
        <v>45</v>
      </c>
      <c r="D79" s="4">
        <v>750</v>
      </c>
      <c r="E79" s="24">
        <f>IFERROR(VLOOKUP(C79,파나소닉A6규격!$A:$C,3,FALSE),IFERROR(VLOOKUP(C79,파스텍EziServo규격!$A:$C,3,FALSE),""))</f>
        <v>750</v>
      </c>
      <c r="F79" s="4">
        <v>3</v>
      </c>
      <c r="G79" s="4">
        <v>1</v>
      </c>
      <c r="H79" s="4">
        <v>1</v>
      </c>
      <c r="I79" s="4">
        <v>1</v>
      </c>
      <c r="J79" s="25">
        <f t="shared" si="1"/>
        <v>525</v>
      </c>
      <c r="K79" s="4" t="s">
        <v>42</v>
      </c>
      <c r="L79" s="4"/>
      <c r="M79" s="4"/>
      <c r="N79" s="4"/>
      <c r="O79" s="4"/>
      <c r="P79" s="4"/>
      <c r="Q79" s="23" t="s">
        <v>143</v>
      </c>
    </row>
    <row r="80" spans="1:17" ht="17.100000000000001" customHeight="1" x14ac:dyDescent="0.3">
      <c r="A80" s="22" t="s">
        <v>126</v>
      </c>
      <c r="B80" s="23" t="s">
        <v>144</v>
      </c>
      <c r="C80" s="23" t="s">
        <v>48</v>
      </c>
      <c r="D80" s="4">
        <v>50</v>
      </c>
      <c r="E80" s="24">
        <f>IFERROR(VLOOKUP(C80,파나소닉A6규격!$A:$C,3,FALSE),IFERROR(VLOOKUP(C80,파스텍EziServo규격!$A:$C,3,FALSE),""))</f>
        <v>50</v>
      </c>
      <c r="F80" s="4">
        <v>3</v>
      </c>
      <c r="G80" s="4">
        <v>1</v>
      </c>
      <c r="H80" s="4">
        <v>1</v>
      </c>
      <c r="I80" s="4">
        <v>1</v>
      </c>
      <c r="J80" s="25">
        <f t="shared" si="1"/>
        <v>35</v>
      </c>
      <c r="K80" s="4" t="s">
        <v>42</v>
      </c>
      <c r="L80" s="4"/>
      <c r="M80" s="4"/>
      <c r="N80" s="4"/>
      <c r="O80" s="4"/>
      <c r="P80" s="4"/>
      <c r="Q80" s="23" t="s">
        <v>145</v>
      </c>
    </row>
    <row r="81" spans="1:17" ht="17.100000000000001" customHeight="1" x14ac:dyDescent="0.3">
      <c r="A81" s="22" t="s">
        <v>126</v>
      </c>
      <c r="B81" s="23" t="s">
        <v>146</v>
      </c>
      <c r="C81" s="23" t="s">
        <v>48</v>
      </c>
      <c r="D81" s="4">
        <v>50</v>
      </c>
      <c r="E81" s="24">
        <f>IFERROR(VLOOKUP(C81,파나소닉A6규격!$A:$C,3,FALSE),IFERROR(VLOOKUP(C81,파스텍EziServo규격!$A:$C,3,FALSE),""))</f>
        <v>50</v>
      </c>
      <c r="F81" s="4">
        <v>3</v>
      </c>
      <c r="G81" s="4">
        <v>1</v>
      </c>
      <c r="H81" s="4">
        <v>1</v>
      </c>
      <c r="I81" s="4">
        <v>1</v>
      </c>
      <c r="J81" s="25">
        <f t="shared" si="1"/>
        <v>35</v>
      </c>
      <c r="K81" s="4" t="s">
        <v>42</v>
      </c>
      <c r="L81" s="4"/>
      <c r="M81" s="4"/>
      <c r="N81" s="4"/>
      <c r="O81" s="4"/>
      <c r="P81" s="4"/>
      <c r="Q81" s="23" t="s">
        <v>147</v>
      </c>
    </row>
    <row r="82" spans="1:17" ht="17.100000000000001" customHeight="1" x14ac:dyDescent="0.3">
      <c r="A82" s="48" t="s">
        <v>148</v>
      </c>
      <c r="B82" s="47"/>
      <c r="C82" s="47"/>
      <c r="D82" s="26"/>
      <c r="E82" s="27">
        <f>SUM(E18:E81)</f>
        <v>10950</v>
      </c>
      <c r="F82" s="26"/>
      <c r="G82" s="26"/>
      <c r="H82" s="26"/>
      <c r="I82" s="26"/>
      <c r="J82" s="27">
        <f>SUM(J18:J81)</f>
        <v>7665</v>
      </c>
      <c r="K82" s="26"/>
      <c r="L82" s="26"/>
      <c r="M82" s="26"/>
      <c r="N82" s="26"/>
      <c r="O82" s="26"/>
      <c r="P82" s="26"/>
      <c r="Q82" s="28" t="s">
        <v>149</v>
      </c>
    </row>
    <row r="84" spans="1:17" ht="15.95" customHeight="1" x14ac:dyDescent="0.3">
      <c r="A84" s="58" t="s">
        <v>150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</row>
    <row r="85" spans="1:17" ht="17.100000000000001" customHeight="1" x14ac:dyDescent="0.3">
      <c r="A85" s="29" t="s">
        <v>39</v>
      </c>
      <c r="B85" s="30" t="s">
        <v>151</v>
      </c>
      <c r="C85" s="30" t="s">
        <v>152</v>
      </c>
      <c r="D85" s="8">
        <v>0</v>
      </c>
      <c r="E85" s="31" t="str">
        <f>IFERROR(VLOOKUP(C85,파나소닉A6규격!$A:$C,3,FALSE),IFERROR(VLOOKUP(C85,파스텍EziServo규격!$A:$C,3,FALSE),""))</f>
        <v/>
      </c>
      <c r="F85" s="8">
        <v>1</v>
      </c>
      <c r="G85" s="8">
        <v>0</v>
      </c>
      <c r="H85" s="8">
        <v>0</v>
      </c>
      <c r="I85" s="8">
        <v>0</v>
      </c>
      <c r="J85" s="31" t="str">
        <f t="shared" ref="J85:J98" si="2">IF(E85="","",E85*0.7)</f>
        <v/>
      </c>
      <c r="K85" s="8"/>
      <c r="L85" s="8" t="s">
        <v>42</v>
      </c>
      <c r="M85" s="8"/>
      <c r="N85" s="8"/>
      <c r="O85" s="8"/>
      <c r="P85" s="8"/>
      <c r="Q85" s="30" t="s">
        <v>153</v>
      </c>
    </row>
    <row r="86" spans="1:17" ht="17.100000000000001" customHeight="1" x14ac:dyDescent="0.3">
      <c r="A86" s="29" t="s">
        <v>39</v>
      </c>
      <c r="B86" s="30" t="s">
        <v>154</v>
      </c>
      <c r="C86" s="30" t="s">
        <v>152</v>
      </c>
      <c r="D86" s="8">
        <v>0</v>
      </c>
      <c r="E86" s="31" t="str">
        <f>IFERROR(VLOOKUP(C86,파나소닉A6규격!$A:$C,3,FALSE),IFERROR(VLOOKUP(C86,파스텍EziServo규격!$A:$C,3,FALSE),""))</f>
        <v/>
      </c>
      <c r="F86" s="8">
        <v>1</v>
      </c>
      <c r="G86" s="8">
        <v>0</v>
      </c>
      <c r="H86" s="8">
        <v>0</v>
      </c>
      <c r="I86" s="8">
        <v>0</v>
      </c>
      <c r="J86" s="31" t="str">
        <f t="shared" si="2"/>
        <v/>
      </c>
      <c r="K86" s="8"/>
      <c r="L86" s="8" t="s">
        <v>42</v>
      </c>
      <c r="M86" s="8"/>
      <c r="N86" s="8"/>
      <c r="O86" s="8"/>
      <c r="P86" s="8"/>
      <c r="Q86" s="30" t="s">
        <v>155</v>
      </c>
    </row>
    <row r="87" spans="1:17" ht="17.100000000000001" customHeight="1" x14ac:dyDescent="0.3">
      <c r="A87" s="29" t="s">
        <v>100</v>
      </c>
      <c r="B87" s="30" t="s">
        <v>156</v>
      </c>
      <c r="C87" s="30" t="s">
        <v>157</v>
      </c>
      <c r="D87" s="8">
        <v>0</v>
      </c>
      <c r="E87" s="31" t="str">
        <f>IFERROR(VLOOKUP(C87,파나소닉A6규격!$A:$C,3,FALSE),IFERROR(VLOOKUP(C87,파스텍EziServo규격!$A:$C,3,FALSE),""))</f>
        <v/>
      </c>
      <c r="F87" s="8">
        <v>1</v>
      </c>
      <c r="G87" s="8">
        <v>0</v>
      </c>
      <c r="H87" s="8">
        <v>0</v>
      </c>
      <c r="I87" s="8">
        <v>0</v>
      </c>
      <c r="J87" s="31" t="str">
        <f t="shared" si="2"/>
        <v/>
      </c>
      <c r="K87" s="8"/>
      <c r="L87" s="8" t="s">
        <v>42</v>
      </c>
      <c r="M87" s="8"/>
      <c r="N87" s="8"/>
      <c r="O87" s="8"/>
      <c r="P87" s="8"/>
      <c r="Q87" s="30" t="s">
        <v>158</v>
      </c>
    </row>
    <row r="88" spans="1:17" ht="17.100000000000001" customHeight="1" x14ac:dyDescent="0.3">
      <c r="A88" s="29" t="s">
        <v>100</v>
      </c>
      <c r="B88" s="30" t="s">
        <v>159</v>
      </c>
      <c r="C88" s="30" t="s">
        <v>157</v>
      </c>
      <c r="D88" s="8">
        <v>0</v>
      </c>
      <c r="E88" s="31" t="str">
        <f>IFERROR(VLOOKUP(C88,파나소닉A6규격!$A:$C,3,FALSE),IFERROR(VLOOKUP(C88,파스텍EziServo규격!$A:$C,3,FALSE),""))</f>
        <v/>
      </c>
      <c r="F88" s="8">
        <v>1</v>
      </c>
      <c r="G88" s="8">
        <v>0</v>
      </c>
      <c r="H88" s="8">
        <v>0</v>
      </c>
      <c r="I88" s="8">
        <v>0</v>
      </c>
      <c r="J88" s="31" t="str">
        <f t="shared" si="2"/>
        <v/>
      </c>
      <c r="K88" s="8"/>
      <c r="L88" s="8" t="s">
        <v>42</v>
      </c>
      <c r="M88" s="8"/>
      <c r="N88" s="8"/>
      <c r="O88" s="8"/>
      <c r="P88" s="8"/>
      <c r="Q88" s="30" t="s">
        <v>160</v>
      </c>
    </row>
    <row r="89" spans="1:17" ht="17.100000000000001" customHeight="1" x14ac:dyDescent="0.3">
      <c r="A89" s="29" t="s">
        <v>100</v>
      </c>
      <c r="B89" s="30" t="s">
        <v>161</v>
      </c>
      <c r="C89" s="30" t="s">
        <v>157</v>
      </c>
      <c r="D89" s="8">
        <v>0</v>
      </c>
      <c r="E89" s="31" t="str">
        <f>IFERROR(VLOOKUP(C89,파나소닉A6규격!$A:$C,3,FALSE),IFERROR(VLOOKUP(C89,파스텍EziServo규격!$A:$C,3,FALSE),""))</f>
        <v/>
      </c>
      <c r="F89" s="8">
        <v>1</v>
      </c>
      <c r="G89" s="8">
        <v>0</v>
      </c>
      <c r="H89" s="8">
        <v>0</v>
      </c>
      <c r="I89" s="8">
        <v>0</v>
      </c>
      <c r="J89" s="31" t="str">
        <f t="shared" si="2"/>
        <v/>
      </c>
      <c r="K89" s="8"/>
      <c r="L89" s="8" t="s">
        <v>42</v>
      </c>
      <c r="M89" s="8"/>
      <c r="N89" s="8"/>
      <c r="O89" s="8"/>
      <c r="P89" s="8"/>
      <c r="Q89" s="30" t="s">
        <v>162</v>
      </c>
    </row>
    <row r="90" spans="1:17" ht="17.100000000000001" customHeight="1" x14ac:dyDescent="0.3">
      <c r="A90" s="29" t="s">
        <v>100</v>
      </c>
      <c r="B90" s="30" t="s">
        <v>163</v>
      </c>
      <c r="C90" s="30" t="s">
        <v>157</v>
      </c>
      <c r="D90" s="8">
        <v>0</v>
      </c>
      <c r="E90" s="31" t="str">
        <f>IFERROR(VLOOKUP(C90,파나소닉A6규격!$A:$C,3,FALSE),IFERROR(VLOOKUP(C90,파스텍EziServo규격!$A:$C,3,FALSE),""))</f>
        <v/>
      </c>
      <c r="F90" s="8">
        <v>1</v>
      </c>
      <c r="G90" s="8">
        <v>0</v>
      </c>
      <c r="H90" s="8">
        <v>0</v>
      </c>
      <c r="I90" s="8">
        <v>0</v>
      </c>
      <c r="J90" s="31" t="str">
        <f t="shared" si="2"/>
        <v/>
      </c>
      <c r="K90" s="8"/>
      <c r="L90" s="8" t="s">
        <v>42</v>
      </c>
      <c r="M90" s="8"/>
      <c r="N90" s="8"/>
      <c r="O90" s="8"/>
      <c r="P90" s="8"/>
      <c r="Q90" s="30" t="s">
        <v>164</v>
      </c>
    </row>
    <row r="91" spans="1:17" ht="17.100000000000001" customHeight="1" x14ac:dyDescent="0.3">
      <c r="A91" s="29" t="s">
        <v>100</v>
      </c>
      <c r="B91" s="30" t="s">
        <v>165</v>
      </c>
      <c r="C91" s="30" t="s">
        <v>157</v>
      </c>
      <c r="D91" s="8">
        <v>0</v>
      </c>
      <c r="E91" s="31" t="str">
        <f>IFERROR(VLOOKUP(C91,파나소닉A6규격!$A:$C,3,FALSE),IFERROR(VLOOKUP(C91,파스텍EziServo규격!$A:$C,3,FALSE),""))</f>
        <v/>
      </c>
      <c r="F91" s="8">
        <v>1</v>
      </c>
      <c r="G91" s="8">
        <v>0</v>
      </c>
      <c r="H91" s="8">
        <v>0</v>
      </c>
      <c r="I91" s="8">
        <v>0</v>
      </c>
      <c r="J91" s="31" t="str">
        <f t="shared" si="2"/>
        <v/>
      </c>
      <c r="K91" s="8"/>
      <c r="L91" s="8" t="s">
        <v>42</v>
      </c>
      <c r="M91" s="8"/>
      <c r="N91" s="8"/>
      <c r="O91" s="8"/>
      <c r="P91" s="8"/>
      <c r="Q91" s="30" t="s">
        <v>166</v>
      </c>
    </row>
    <row r="92" spans="1:17" ht="17.100000000000001" customHeight="1" x14ac:dyDescent="0.3">
      <c r="A92" s="29" t="s">
        <v>100</v>
      </c>
      <c r="B92" s="30" t="s">
        <v>167</v>
      </c>
      <c r="C92" s="30" t="s">
        <v>157</v>
      </c>
      <c r="D92" s="8">
        <v>0</v>
      </c>
      <c r="E92" s="31" t="str">
        <f>IFERROR(VLOOKUP(C92,파나소닉A6규격!$A:$C,3,FALSE),IFERROR(VLOOKUP(C92,파스텍EziServo규격!$A:$C,3,FALSE),""))</f>
        <v/>
      </c>
      <c r="F92" s="8">
        <v>1</v>
      </c>
      <c r="G92" s="8">
        <v>0</v>
      </c>
      <c r="H92" s="8">
        <v>0</v>
      </c>
      <c r="I92" s="8">
        <v>0</v>
      </c>
      <c r="J92" s="31" t="str">
        <f t="shared" si="2"/>
        <v/>
      </c>
      <c r="K92" s="8"/>
      <c r="L92" s="8" t="s">
        <v>42</v>
      </c>
      <c r="M92" s="8"/>
      <c r="N92" s="8"/>
      <c r="O92" s="8"/>
      <c r="P92" s="8"/>
      <c r="Q92" s="30" t="s">
        <v>168</v>
      </c>
    </row>
    <row r="93" spans="1:17" ht="17.100000000000001" customHeight="1" x14ac:dyDescent="0.3">
      <c r="A93" s="29" t="s">
        <v>126</v>
      </c>
      <c r="B93" s="30" t="s">
        <v>169</v>
      </c>
      <c r="C93" s="30" t="s">
        <v>152</v>
      </c>
      <c r="D93" s="8">
        <v>0</v>
      </c>
      <c r="E93" s="31" t="str">
        <f>IFERROR(VLOOKUP(C93,파나소닉A6규격!$A:$C,3,FALSE),IFERROR(VLOOKUP(C93,파스텍EziServo규격!$A:$C,3,FALSE),""))</f>
        <v/>
      </c>
      <c r="F93" s="8">
        <v>1</v>
      </c>
      <c r="G93" s="8">
        <v>0</v>
      </c>
      <c r="H93" s="8">
        <v>0</v>
      </c>
      <c r="I93" s="8">
        <v>0</v>
      </c>
      <c r="J93" s="31" t="str">
        <f t="shared" si="2"/>
        <v/>
      </c>
      <c r="K93" s="8"/>
      <c r="L93" s="8" t="s">
        <v>42</v>
      </c>
      <c r="M93" s="8"/>
      <c r="N93" s="8"/>
      <c r="O93" s="8"/>
      <c r="P93" s="8"/>
      <c r="Q93" s="30"/>
    </row>
    <row r="94" spans="1:17" ht="17.100000000000001" customHeight="1" x14ac:dyDescent="0.3">
      <c r="A94" s="29" t="s">
        <v>126</v>
      </c>
      <c r="B94" s="30" t="s">
        <v>170</v>
      </c>
      <c r="C94" s="30" t="s">
        <v>152</v>
      </c>
      <c r="D94" s="8">
        <v>0</v>
      </c>
      <c r="E94" s="31" t="str">
        <f>IFERROR(VLOOKUP(C94,파나소닉A6규격!$A:$C,3,FALSE),IFERROR(VLOOKUP(C94,파스텍EziServo규격!$A:$C,3,FALSE),""))</f>
        <v/>
      </c>
      <c r="F94" s="8">
        <v>1</v>
      </c>
      <c r="G94" s="8">
        <v>0</v>
      </c>
      <c r="H94" s="8">
        <v>0</v>
      </c>
      <c r="I94" s="8">
        <v>0</v>
      </c>
      <c r="J94" s="31" t="str">
        <f t="shared" si="2"/>
        <v/>
      </c>
      <c r="K94" s="8"/>
      <c r="L94" s="8" t="s">
        <v>42</v>
      </c>
      <c r="M94" s="8"/>
      <c r="N94" s="8"/>
      <c r="O94" s="8"/>
      <c r="P94" s="8"/>
      <c r="Q94" s="30"/>
    </row>
    <row r="95" spans="1:17" ht="17.100000000000001" customHeight="1" x14ac:dyDescent="0.3">
      <c r="A95" s="29" t="s">
        <v>126</v>
      </c>
      <c r="B95" s="30" t="s">
        <v>171</v>
      </c>
      <c r="C95" s="30" t="s">
        <v>152</v>
      </c>
      <c r="D95" s="8">
        <v>0</v>
      </c>
      <c r="E95" s="31" t="str">
        <f>IFERROR(VLOOKUP(C95,파나소닉A6규격!$A:$C,3,FALSE),IFERROR(VLOOKUP(C95,파스텍EziServo규격!$A:$C,3,FALSE),""))</f>
        <v/>
      </c>
      <c r="F95" s="8">
        <v>1</v>
      </c>
      <c r="G95" s="8">
        <v>0</v>
      </c>
      <c r="H95" s="8">
        <v>0</v>
      </c>
      <c r="I95" s="8">
        <v>0</v>
      </c>
      <c r="J95" s="31" t="str">
        <f t="shared" si="2"/>
        <v/>
      </c>
      <c r="K95" s="8"/>
      <c r="L95" s="8" t="s">
        <v>42</v>
      </c>
      <c r="M95" s="8"/>
      <c r="N95" s="8"/>
      <c r="O95" s="8"/>
      <c r="P95" s="8"/>
      <c r="Q95" s="30"/>
    </row>
    <row r="96" spans="1:17" ht="17.100000000000001" customHeight="1" x14ac:dyDescent="0.3">
      <c r="A96" s="29" t="s">
        <v>126</v>
      </c>
      <c r="B96" s="30" t="s">
        <v>172</v>
      </c>
      <c r="C96" s="30" t="s">
        <v>152</v>
      </c>
      <c r="D96" s="8">
        <v>0</v>
      </c>
      <c r="E96" s="31" t="str">
        <f>IFERROR(VLOOKUP(C96,파나소닉A6규격!$A:$C,3,FALSE),IFERROR(VLOOKUP(C96,파스텍EziServo규격!$A:$C,3,FALSE),""))</f>
        <v/>
      </c>
      <c r="F96" s="8">
        <v>1</v>
      </c>
      <c r="G96" s="8">
        <v>0</v>
      </c>
      <c r="H96" s="8">
        <v>0</v>
      </c>
      <c r="I96" s="8">
        <v>0</v>
      </c>
      <c r="J96" s="31" t="str">
        <f t="shared" si="2"/>
        <v/>
      </c>
      <c r="K96" s="8"/>
      <c r="L96" s="8" t="s">
        <v>42</v>
      </c>
      <c r="M96" s="8"/>
      <c r="N96" s="8"/>
      <c r="O96" s="8"/>
      <c r="P96" s="8"/>
      <c r="Q96" s="30"/>
    </row>
    <row r="97" spans="1:17" ht="17.100000000000001" customHeight="1" x14ac:dyDescent="0.3">
      <c r="A97" s="29" t="s">
        <v>126</v>
      </c>
      <c r="B97" s="30" t="s">
        <v>173</v>
      </c>
      <c r="C97" s="30" t="s">
        <v>174</v>
      </c>
      <c r="D97" s="8">
        <v>0</v>
      </c>
      <c r="E97" s="31" t="str">
        <f>IFERROR(VLOOKUP(C97,파나소닉A6규격!$A:$C,3,FALSE),IFERROR(VLOOKUP(C97,파스텍EziServo규격!$A:$C,3,FALSE),""))</f>
        <v/>
      </c>
      <c r="F97" s="8">
        <v>1</v>
      </c>
      <c r="G97" s="8">
        <v>0</v>
      </c>
      <c r="H97" s="8">
        <v>0</v>
      </c>
      <c r="I97" s="8">
        <v>0</v>
      </c>
      <c r="J97" s="31" t="str">
        <f t="shared" si="2"/>
        <v/>
      </c>
      <c r="K97" s="8"/>
      <c r="L97" s="8" t="s">
        <v>42</v>
      </c>
      <c r="M97" s="8"/>
      <c r="N97" s="8"/>
      <c r="O97" s="8"/>
      <c r="P97" s="8"/>
      <c r="Q97" s="30"/>
    </row>
    <row r="98" spans="1:17" ht="17.100000000000001" customHeight="1" x14ac:dyDescent="0.3">
      <c r="A98" s="29" t="s">
        <v>126</v>
      </c>
      <c r="B98" s="30" t="s">
        <v>175</v>
      </c>
      <c r="C98" s="30" t="s">
        <v>174</v>
      </c>
      <c r="D98" s="8">
        <v>0</v>
      </c>
      <c r="E98" s="31" t="str">
        <f>IFERROR(VLOOKUP(C98,파나소닉A6규격!$A:$C,3,FALSE),IFERROR(VLOOKUP(C98,파스텍EziServo규격!$A:$C,3,FALSE),""))</f>
        <v/>
      </c>
      <c r="F98" s="8">
        <v>1</v>
      </c>
      <c r="G98" s="8">
        <v>0</v>
      </c>
      <c r="H98" s="8">
        <v>0</v>
      </c>
      <c r="I98" s="8">
        <v>0</v>
      </c>
      <c r="J98" s="31" t="str">
        <f t="shared" si="2"/>
        <v/>
      </c>
      <c r="K98" s="8"/>
      <c r="L98" s="8" t="s">
        <v>42</v>
      </c>
      <c r="M98" s="8"/>
      <c r="N98" s="8"/>
      <c r="O98" s="8"/>
      <c r="P98" s="8"/>
      <c r="Q98" s="30"/>
    </row>
    <row r="99" spans="1:17" ht="17.100000000000001" customHeight="1" x14ac:dyDescent="0.3">
      <c r="A99" s="48" t="s">
        <v>176</v>
      </c>
      <c r="B99" s="47"/>
      <c r="C99" s="47"/>
      <c r="D99" s="26"/>
      <c r="E99" s="26">
        <f>SUM(E85:E98)</f>
        <v>0</v>
      </c>
      <c r="F99" s="26"/>
      <c r="G99" s="26"/>
      <c r="H99" s="26"/>
      <c r="I99" s="26"/>
      <c r="J99" s="26">
        <f>SUM(J85:J98)</f>
        <v>0</v>
      </c>
      <c r="K99" s="26"/>
      <c r="L99" s="26"/>
      <c r="M99" s="26"/>
      <c r="N99" s="26"/>
      <c r="O99" s="26"/>
      <c r="P99" s="26"/>
      <c r="Q99" s="28" t="s">
        <v>177</v>
      </c>
    </row>
    <row r="101" spans="1:17" ht="15.95" customHeight="1" x14ac:dyDescent="0.3">
      <c r="A101" s="61" t="s">
        <v>178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</row>
    <row r="102" spans="1:17" ht="17.100000000000001" customHeight="1" x14ac:dyDescent="0.3">
      <c r="A102" s="32" t="s">
        <v>179</v>
      </c>
      <c r="B102" s="33" t="s">
        <v>180</v>
      </c>
      <c r="C102" s="33" t="s">
        <v>181</v>
      </c>
      <c r="D102" s="12">
        <v>0</v>
      </c>
      <c r="E102" s="12">
        <v>0</v>
      </c>
      <c r="F102" s="12">
        <v>1</v>
      </c>
      <c r="G102" s="12">
        <v>0</v>
      </c>
      <c r="H102" s="12">
        <v>0</v>
      </c>
      <c r="I102" s="12">
        <v>0</v>
      </c>
      <c r="J102" s="12">
        <v>0</v>
      </c>
      <c r="K102" s="12"/>
      <c r="L102" s="12"/>
      <c r="M102" s="12" t="s">
        <v>42</v>
      </c>
      <c r="N102" s="12"/>
      <c r="O102" s="12"/>
      <c r="P102" s="12"/>
      <c r="Q102" s="33" t="s">
        <v>182</v>
      </c>
    </row>
    <row r="103" spans="1:17" ht="17.100000000000001" customHeight="1" x14ac:dyDescent="0.3">
      <c r="A103" s="32" t="s">
        <v>179</v>
      </c>
      <c r="B103" s="33" t="s">
        <v>183</v>
      </c>
      <c r="C103" s="33" t="s">
        <v>184</v>
      </c>
      <c r="D103" s="12">
        <v>0</v>
      </c>
      <c r="E103" s="12">
        <v>0</v>
      </c>
      <c r="F103" s="12">
        <v>1</v>
      </c>
      <c r="G103" s="12">
        <v>0</v>
      </c>
      <c r="H103" s="12">
        <v>0</v>
      </c>
      <c r="I103" s="12">
        <v>0</v>
      </c>
      <c r="J103" s="12">
        <v>0</v>
      </c>
      <c r="K103" s="12"/>
      <c r="L103" s="12"/>
      <c r="M103" s="12" t="s">
        <v>42</v>
      </c>
      <c r="N103" s="12"/>
      <c r="O103" s="12"/>
      <c r="P103" s="12"/>
      <c r="Q103" s="33" t="s">
        <v>182</v>
      </c>
    </row>
    <row r="104" spans="1:17" ht="17.100000000000001" customHeight="1" x14ac:dyDescent="0.3">
      <c r="A104" s="32" t="s">
        <v>179</v>
      </c>
      <c r="B104" s="33" t="s">
        <v>185</v>
      </c>
      <c r="C104" s="33" t="s">
        <v>186</v>
      </c>
      <c r="D104" s="12">
        <v>0</v>
      </c>
      <c r="E104" s="12">
        <v>0</v>
      </c>
      <c r="F104" s="12">
        <v>1</v>
      </c>
      <c r="G104" s="12">
        <v>0</v>
      </c>
      <c r="H104" s="12">
        <v>0</v>
      </c>
      <c r="I104" s="12">
        <v>0</v>
      </c>
      <c r="J104" s="12">
        <v>0</v>
      </c>
      <c r="K104" s="12"/>
      <c r="L104" s="12"/>
      <c r="M104" s="12" t="s">
        <v>42</v>
      </c>
      <c r="N104" s="12"/>
      <c r="O104" s="12"/>
      <c r="P104" s="12"/>
      <c r="Q104" s="33" t="s">
        <v>187</v>
      </c>
    </row>
    <row r="105" spans="1:17" ht="17.100000000000001" customHeight="1" x14ac:dyDescent="0.3">
      <c r="A105" s="32" t="s">
        <v>179</v>
      </c>
      <c r="B105" s="33" t="s">
        <v>188</v>
      </c>
      <c r="C105" s="33" t="s">
        <v>186</v>
      </c>
      <c r="D105" s="12">
        <v>0</v>
      </c>
      <c r="E105" s="12">
        <v>0</v>
      </c>
      <c r="F105" s="12">
        <v>1</v>
      </c>
      <c r="G105" s="12">
        <v>0</v>
      </c>
      <c r="H105" s="12">
        <v>0</v>
      </c>
      <c r="I105" s="12">
        <v>0</v>
      </c>
      <c r="J105" s="12">
        <v>0</v>
      </c>
      <c r="K105" s="12"/>
      <c r="L105" s="12"/>
      <c r="M105" s="12" t="s">
        <v>42</v>
      </c>
      <c r="N105" s="12"/>
      <c r="O105" s="12"/>
      <c r="P105" s="12"/>
      <c r="Q105" s="33" t="s">
        <v>189</v>
      </c>
    </row>
    <row r="106" spans="1:17" ht="17.100000000000001" customHeight="1" x14ac:dyDescent="0.3">
      <c r="A106" s="32" t="s">
        <v>179</v>
      </c>
      <c r="B106" s="33" t="s">
        <v>190</v>
      </c>
      <c r="C106" s="33" t="s">
        <v>186</v>
      </c>
      <c r="D106" s="12">
        <v>0</v>
      </c>
      <c r="E106" s="12">
        <v>0</v>
      </c>
      <c r="F106" s="12">
        <v>1</v>
      </c>
      <c r="G106" s="12">
        <v>0</v>
      </c>
      <c r="H106" s="12">
        <v>0</v>
      </c>
      <c r="I106" s="12">
        <v>0</v>
      </c>
      <c r="J106" s="12">
        <v>0</v>
      </c>
      <c r="K106" s="12"/>
      <c r="L106" s="12"/>
      <c r="M106" s="12" t="s">
        <v>42</v>
      </c>
      <c r="N106" s="12"/>
      <c r="O106" s="12"/>
      <c r="P106" s="12"/>
      <c r="Q106" s="33" t="s">
        <v>191</v>
      </c>
    </row>
    <row r="107" spans="1:17" ht="17.100000000000001" customHeight="1" x14ac:dyDescent="0.3">
      <c r="A107" s="48" t="s">
        <v>192</v>
      </c>
      <c r="B107" s="47"/>
      <c r="C107" s="47"/>
      <c r="D107" s="26"/>
      <c r="E107" s="26">
        <f>SUM(E102:E106)</f>
        <v>0</v>
      </c>
      <c r="F107" s="26"/>
      <c r="G107" s="26"/>
      <c r="H107" s="26"/>
      <c r="I107" s="26"/>
      <c r="J107" s="26">
        <f>SUM(J102:J106)</f>
        <v>0</v>
      </c>
      <c r="K107" s="26"/>
      <c r="L107" s="26"/>
      <c r="M107" s="26"/>
      <c r="N107" s="26"/>
      <c r="O107" s="26"/>
      <c r="P107" s="26"/>
      <c r="Q107" s="28" t="s">
        <v>193</v>
      </c>
    </row>
    <row r="109" spans="1:17" ht="15.95" customHeight="1" x14ac:dyDescent="0.3">
      <c r="A109" s="65" t="s">
        <v>194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</row>
    <row r="110" spans="1:17" ht="17.100000000000001" customHeight="1" x14ac:dyDescent="0.3">
      <c r="A110" s="34" t="s">
        <v>179</v>
      </c>
      <c r="B110" s="35" t="s">
        <v>195</v>
      </c>
      <c r="C110" s="35" t="s">
        <v>186</v>
      </c>
      <c r="D110" s="16">
        <v>0</v>
      </c>
      <c r="E110" s="16">
        <v>0</v>
      </c>
      <c r="F110" s="16">
        <v>1</v>
      </c>
      <c r="G110" s="16">
        <v>0</v>
      </c>
      <c r="H110" s="16">
        <v>1</v>
      </c>
      <c r="I110" s="16">
        <v>0</v>
      </c>
      <c r="J110" s="16">
        <v>0</v>
      </c>
      <c r="K110" s="16"/>
      <c r="L110" s="16" t="s">
        <v>42</v>
      </c>
      <c r="M110" s="16"/>
      <c r="N110" s="16"/>
      <c r="O110" s="16"/>
      <c r="P110" s="16"/>
      <c r="Q110" s="35" t="s">
        <v>196</v>
      </c>
    </row>
    <row r="111" spans="1:17" ht="17.100000000000001" customHeight="1" x14ac:dyDescent="0.3">
      <c r="A111" s="34" t="s">
        <v>179</v>
      </c>
      <c r="B111" s="35" t="s">
        <v>197</v>
      </c>
      <c r="C111" s="35" t="s">
        <v>186</v>
      </c>
      <c r="D111" s="16">
        <v>0</v>
      </c>
      <c r="E111" s="16">
        <v>0</v>
      </c>
      <c r="F111" s="16">
        <v>1</v>
      </c>
      <c r="G111" s="16">
        <v>0</v>
      </c>
      <c r="H111" s="16">
        <v>0</v>
      </c>
      <c r="I111" s="16">
        <v>1</v>
      </c>
      <c r="J111" s="16">
        <v>0</v>
      </c>
      <c r="K111" s="16"/>
      <c r="L111" s="16" t="s">
        <v>42</v>
      </c>
      <c r="M111" s="16"/>
      <c r="N111" s="16"/>
      <c r="O111" s="16"/>
      <c r="P111" s="16"/>
      <c r="Q111" s="35" t="s">
        <v>198</v>
      </c>
    </row>
    <row r="112" spans="1:17" ht="17.100000000000001" customHeight="1" x14ac:dyDescent="0.3">
      <c r="A112" s="34" t="s">
        <v>179</v>
      </c>
      <c r="B112" s="35" t="s">
        <v>199</v>
      </c>
      <c r="C112" s="35" t="s">
        <v>186</v>
      </c>
      <c r="D112" s="16">
        <v>0</v>
      </c>
      <c r="E112" s="16">
        <v>0</v>
      </c>
      <c r="F112" s="16">
        <v>1</v>
      </c>
      <c r="G112" s="16">
        <v>1</v>
      </c>
      <c r="H112" s="16">
        <v>0</v>
      </c>
      <c r="I112" s="16">
        <v>0</v>
      </c>
      <c r="J112" s="16">
        <v>0</v>
      </c>
      <c r="K112" s="16"/>
      <c r="L112" s="16" t="s">
        <v>42</v>
      </c>
      <c r="M112" s="16"/>
      <c r="N112" s="16"/>
      <c r="O112" s="16"/>
      <c r="P112" s="16"/>
      <c r="Q112" s="35" t="s">
        <v>198</v>
      </c>
    </row>
    <row r="113" spans="1:17" ht="17.100000000000001" customHeight="1" x14ac:dyDescent="0.3">
      <c r="A113" s="34" t="s">
        <v>179</v>
      </c>
      <c r="B113" s="35" t="s">
        <v>37</v>
      </c>
      <c r="C113" s="35" t="s">
        <v>186</v>
      </c>
      <c r="D113" s="16">
        <v>0</v>
      </c>
      <c r="E113" s="16">
        <v>0</v>
      </c>
      <c r="F113" s="16">
        <v>1</v>
      </c>
      <c r="G113" s="16">
        <v>0</v>
      </c>
      <c r="H113" s="16">
        <v>0</v>
      </c>
      <c r="I113" s="16">
        <v>0</v>
      </c>
      <c r="J113" s="16">
        <v>0</v>
      </c>
      <c r="K113" s="16"/>
      <c r="L113" s="16"/>
      <c r="M113" s="16"/>
      <c r="N113" s="16"/>
      <c r="O113" s="16"/>
      <c r="P113" s="16"/>
      <c r="Q113" s="35" t="s">
        <v>191</v>
      </c>
    </row>
    <row r="114" spans="1:17" ht="17.100000000000001" customHeight="1" x14ac:dyDescent="0.3">
      <c r="A114" s="48" t="s">
        <v>200</v>
      </c>
      <c r="B114" s="47"/>
      <c r="C114" s="47"/>
      <c r="D114" s="26"/>
      <c r="E114" s="26">
        <f>SUM(E110:E113)</f>
        <v>0</v>
      </c>
      <c r="F114" s="26"/>
      <c r="G114" s="26"/>
      <c r="H114" s="26"/>
      <c r="I114" s="26"/>
      <c r="J114" s="26">
        <f>SUM(J110:J113)</f>
        <v>0</v>
      </c>
      <c r="K114" s="26"/>
      <c r="L114" s="26"/>
      <c r="M114" s="26"/>
      <c r="N114" s="26"/>
      <c r="O114" s="26"/>
      <c r="P114" s="26"/>
      <c r="Q114" s="28" t="s">
        <v>201</v>
      </c>
    </row>
    <row r="116" spans="1:17" ht="15.95" customHeight="1" x14ac:dyDescent="0.3">
      <c r="A116" s="63" t="s">
        <v>202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</row>
    <row r="117" spans="1:17" ht="24" x14ac:dyDescent="0.3">
      <c r="A117" s="60" t="s">
        <v>203</v>
      </c>
      <c r="B117" s="47"/>
      <c r="C117" s="47"/>
      <c r="E117" s="36">
        <f>E82+E99+E107+E114</f>
        <v>10950</v>
      </c>
      <c r="F117" s="37">
        <f>E117*1.25</f>
        <v>13687.5</v>
      </c>
      <c r="G117" s="38" t="s">
        <v>204</v>
      </c>
      <c r="O117" s="39" t="s">
        <v>205</v>
      </c>
      <c r="Q117" s="40" t="s">
        <v>206</v>
      </c>
    </row>
    <row r="118" spans="1:17" ht="36" x14ac:dyDescent="0.3">
      <c r="A118" s="51" t="s">
        <v>207</v>
      </c>
      <c r="B118" s="47"/>
      <c r="C118" s="47"/>
      <c r="G118" s="41" t="s">
        <v>208</v>
      </c>
      <c r="H118" s="41" t="s">
        <v>209</v>
      </c>
      <c r="I118" s="41" t="s">
        <v>210</v>
      </c>
      <c r="Q118" s="28" t="s">
        <v>211</v>
      </c>
    </row>
    <row r="120" spans="1:17" ht="15.95" customHeight="1" x14ac:dyDescent="0.3">
      <c r="A120" s="59" t="s">
        <v>212</v>
      </c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</row>
    <row r="121" spans="1:17" ht="15.95" customHeight="1" x14ac:dyDescent="0.3">
      <c r="A121" s="53" t="s">
        <v>213</v>
      </c>
      <c r="B121" s="47"/>
      <c r="C121" s="52" t="s">
        <v>214</v>
      </c>
      <c r="D121" s="47"/>
      <c r="E121" s="47"/>
      <c r="F121" s="47"/>
      <c r="G121" s="49" t="s">
        <v>215</v>
      </c>
      <c r="H121" s="47"/>
      <c r="I121" s="47"/>
      <c r="J121" s="47"/>
      <c r="K121" s="54" t="s">
        <v>216</v>
      </c>
      <c r="L121" s="47"/>
      <c r="M121" s="47"/>
      <c r="N121" s="47"/>
      <c r="O121" s="47"/>
      <c r="P121" s="47"/>
      <c r="Q121" s="47"/>
    </row>
    <row r="122" spans="1:17" ht="15.95" customHeight="1" x14ac:dyDescent="0.3">
      <c r="A122" s="53" t="s">
        <v>217</v>
      </c>
      <c r="B122" s="47"/>
      <c r="C122" s="52" t="s">
        <v>218</v>
      </c>
      <c r="D122" s="47"/>
      <c r="E122" s="47"/>
      <c r="F122" s="47"/>
      <c r="G122" s="49" t="s">
        <v>219</v>
      </c>
      <c r="H122" s="47"/>
      <c r="I122" s="47"/>
      <c r="J122" s="47"/>
      <c r="K122" s="54" t="s">
        <v>220</v>
      </c>
      <c r="L122" s="47"/>
      <c r="M122" s="47"/>
      <c r="N122" s="47"/>
      <c r="O122" s="47"/>
      <c r="P122" s="47"/>
      <c r="Q122" s="47"/>
    </row>
    <row r="123" spans="1:17" ht="15.95" customHeight="1" x14ac:dyDescent="0.3">
      <c r="A123" s="53" t="s">
        <v>221</v>
      </c>
      <c r="B123" s="47"/>
      <c r="C123" s="52" t="s">
        <v>222</v>
      </c>
      <c r="D123" s="47"/>
      <c r="E123" s="47"/>
      <c r="F123" s="47"/>
      <c r="G123" s="49" t="s">
        <v>223</v>
      </c>
      <c r="H123" s="47"/>
      <c r="I123" s="47"/>
      <c r="J123" s="47"/>
      <c r="K123" s="54" t="s">
        <v>224</v>
      </c>
      <c r="L123" s="47"/>
      <c r="M123" s="47"/>
      <c r="N123" s="47"/>
      <c r="O123" s="47"/>
      <c r="P123" s="47"/>
      <c r="Q123" s="47"/>
    </row>
    <row r="124" spans="1:17" ht="15.95" customHeight="1" x14ac:dyDescent="0.3">
      <c r="A124" s="53" t="s">
        <v>225</v>
      </c>
      <c r="B124" s="47"/>
      <c r="C124" s="52" t="s">
        <v>226</v>
      </c>
      <c r="D124" s="47"/>
      <c r="E124" s="47"/>
      <c r="F124" s="47"/>
      <c r="G124" s="49" t="s">
        <v>227</v>
      </c>
      <c r="H124" s="47"/>
      <c r="I124" s="47"/>
      <c r="J124" s="47"/>
      <c r="K124" s="54" t="s">
        <v>228</v>
      </c>
      <c r="L124" s="47"/>
      <c r="M124" s="47"/>
      <c r="N124" s="47"/>
      <c r="O124" s="47"/>
      <c r="P124" s="47"/>
      <c r="Q124" s="47"/>
    </row>
    <row r="125" spans="1:17" ht="15.95" customHeight="1" x14ac:dyDescent="0.3">
      <c r="A125" s="53" t="s">
        <v>229</v>
      </c>
      <c r="B125" s="47"/>
      <c r="C125" s="52" t="s">
        <v>230</v>
      </c>
      <c r="D125" s="47"/>
      <c r="E125" s="47"/>
      <c r="F125" s="47"/>
      <c r="G125" s="49" t="s">
        <v>231</v>
      </c>
      <c r="H125" s="47"/>
      <c r="I125" s="47"/>
      <c r="J125" s="47"/>
      <c r="K125" s="54" t="s">
        <v>232</v>
      </c>
      <c r="L125" s="47"/>
      <c r="M125" s="47"/>
      <c r="N125" s="47"/>
      <c r="O125" s="47"/>
      <c r="P125" s="47"/>
      <c r="Q125" s="47"/>
    </row>
  </sheetData>
  <mergeCells count="49">
    <mergeCell ref="G124:J124"/>
    <mergeCell ref="O15:O16"/>
    <mergeCell ref="A2:Q2"/>
    <mergeCell ref="G125:J125"/>
    <mergeCell ref="K122:Q122"/>
    <mergeCell ref="A114:C114"/>
    <mergeCell ref="C121:F121"/>
    <mergeCell ref="H15:H16"/>
    <mergeCell ref="A116:Q116"/>
    <mergeCell ref="P15:P16"/>
    <mergeCell ref="A122:B122"/>
    <mergeCell ref="A82:C82"/>
    <mergeCell ref="C124:F124"/>
    <mergeCell ref="A125:B125"/>
    <mergeCell ref="A17:Q17"/>
    <mergeCell ref="A107:C107"/>
    <mergeCell ref="A109:Q109"/>
    <mergeCell ref="A121:B121"/>
    <mergeCell ref="C125:F125"/>
    <mergeCell ref="K125:Q125"/>
    <mergeCell ref="A124:B124"/>
    <mergeCell ref="A1:Q1"/>
    <mergeCell ref="K124:Q124"/>
    <mergeCell ref="E15:E16"/>
    <mergeCell ref="K121:Q121"/>
    <mergeCell ref="G15:G16"/>
    <mergeCell ref="K15:N15"/>
    <mergeCell ref="Q15:Q16"/>
    <mergeCell ref="B15:B16"/>
    <mergeCell ref="A84:Q84"/>
    <mergeCell ref="D15:D16"/>
    <mergeCell ref="A120:Q120"/>
    <mergeCell ref="A117:C117"/>
    <mergeCell ref="K123:Q123"/>
    <mergeCell ref="F15:F16"/>
    <mergeCell ref="A99:C99"/>
    <mergeCell ref="G123:J123"/>
    <mergeCell ref="A9:Q9"/>
    <mergeCell ref="A118:C118"/>
    <mergeCell ref="C122:F122"/>
    <mergeCell ref="A123:B123"/>
    <mergeCell ref="C123:F123"/>
    <mergeCell ref="J15:J16"/>
    <mergeCell ref="G122:J122"/>
    <mergeCell ref="A101:Q101"/>
    <mergeCell ref="G121:J121"/>
    <mergeCell ref="A15:A16"/>
    <mergeCell ref="C15:C16"/>
    <mergeCell ref="I15:I16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sqref="A1:XFD1048576"/>
    </sheetView>
  </sheetViews>
  <sheetFormatPr defaultRowHeight="16.5" x14ac:dyDescent="0.3"/>
  <cols>
    <col min="1" max="1" width="18" customWidth="1"/>
    <col min="2" max="2" width="22" customWidth="1"/>
    <col min="3" max="3" width="14" customWidth="1"/>
    <col min="4" max="6" width="16" customWidth="1"/>
    <col min="7" max="7" width="12" customWidth="1"/>
    <col min="8" max="8" width="18" customWidth="1"/>
    <col min="9" max="9" width="20" customWidth="1"/>
    <col min="10" max="10" width="14" customWidth="1"/>
  </cols>
  <sheetData>
    <row r="1" spans="1:10" ht="21.95" customHeight="1" x14ac:dyDescent="0.3">
      <c r="A1" s="68" t="s">
        <v>289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20.100000000000001" customHeight="1" x14ac:dyDescent="0.3">
      <c r="A2" s="21" t="s">
        <v>290</v>
      </c>
      <c r="B2" s="21" t="s">
        <v>291</v>
      </c>
      <c r="C2" s="21" t="s">
        <v>292</v>
      </c>
      <c r="D2" s="21" t="s">
        <v>293</v>
      </c>
      <c r="E2" s="21" t="s">
        <v>294</v>
      </c>
      <c r="F2" s="21" t="s">
        <v>295</v>
      </c>
      <c r="G2" s="21" t="s">
        <v>296</v>
      </c>
      <c r="H2" s="21" t="s">
        <v>297</v>
      </c>
      <c r="I2" s="21" t="s">
        <v>245</v>
      </c>
      <c r="J2" s="21" t="s">
        <v>7</v>
      </c>
    </row>
    <row r="3" spans="1:10" ht="15.95" customHeight="1" x14ac:dyDescent="0.3">
      <c r="A3" s="23" t="s">
        <v>48</v>
      </c>
      <c r="B3" s="4" t="s">
        <v>298</v>
      </c>
      <c r="C3" s="4">
        <v>50</v>
      </c>
      <c r="D3" s="4" t="s">
        <v>299</v>
      </c>
      <c r="E3" s="4">
        <v>0.3</v>
      </c>
      <c r="F3" s="4">
        <v>0.8</v>
      </c>
      <c r="G3" s="4" t="s">
        <v>300</v>
      </c>
      <c r="H3" s="4" t="s">
        <v>301</v>
      </c>
      <c r="I3" s="4" t="s">
        <v>302</v>
      </c>
      <c r="J3" s="4"/>
    </row>
    <row r="4" spans="1:10" ht="15.95" customHeight="1" x14ac:dyDescent="0.3">
      <c r="A4" s="42" t="s">
        <v>233</v>
      </c>
      <c r="B4" s="43" t="s">
        <v>303</v>
      </c>
      <c r="C4" s="43">
        <v>100</v>
      </c>
      <c r="D4" s="43" t="s">
        <v>299</v>
      </c>
      <c r="E4" s="43">
        <v>0.5</v>
      </c>
      <c r="F4" s="43">
        <v>1.2</v>
      </c>
      <c r="G4" s="43" t="s">
        <v>300</v>
      </c>
      <c r="H4" s="43" t="s">
        <v>301</v>
      </c>
      <c r="I4" s="43"/>
      <c r="J4" s="43"/>
    </row>
    <row r="5" spans="1:10" ht="15.95" customHeight="1" x14ac:dyDescent="0.3">
      <c r="A5" s="23" t="s">
        <v>86</v>
      </c>
      <c r="B5" s="4" t="s">
        <v>304</v>
      </c>
      <c r="C5" s="4">
        <v>200</v>
      </c>
      <c r="D5" s="4" t="s">
        <v>299</v>
      </c>
      <c r="E5" s="4">
        <v>1</v>
      </c>
      <c r="F5" s="4">
        <v>2.4</v>
      </c>
      <c r="G5" s="4" t="s">
        <v>300</v>
      </c>
      <c r="H5" s="4" t="s">
        <v>301</v>
      </c>
      <c r="I5" s="4"/>
      <c r="J5" s="4"/>
    </row>
    <row r="6" spans="1:10" ht="15.95" customHeight="1" x14ac:dyDescent="0.3">
      <c r="A6" s="42" t="s">
        <v>62</v>
      </c>
      <c r="B6" s="43" t="s">
        <v>305</v>
      </c>
      <c r="C6" s="43">
        <v>400</v>
      </c>
      <c r="D6" s="43" t="s">
        <v>299</v>
      </c>
      <c r="E6" s="43">
        <v>1.5</v>
      </c>
      <c r="F6" s="43">
        <v>4</v>
      </c>
      <c r="G6" s="43" t="s">
        <v>300</v>
      </c>
      <c r="H6" s="43" t="s">
        <v>301</v>
      </c>
      <c r="I6" s="43"/>
      <c r="J6" s="43"/>
    </row>
    <row r="7" spans="1:10" ht="15.95" customHeight="1" x14ac:dyDescent="0.3">
      <c r="A7" s="23" t="s">
        <v>45</v>
      </c>
      <c r="B7" s="4" t="s">
        <v>306</v>
      </c>
      <c r="C7" s="4">
        <v>750</v>
      </c>
      <c r="D7" s="4" t="s">
        <v>299</v>
      </c>
      <c r="E7" s="4">
        <v>2.4</v>
      </c>
      <c r="F7" s="4">
        <v>7</v>
      </c>
      <c r="G7" s="4" t="s">
        <v>300</v>
      </c>
      <c r="H7" s="4" t="s">
        <v>301</v>
      </c>
      <c r="I7" s="4" t="s">
        <v>307</v>
      </c>
      <c r="J7" s="4"/>
    </row>
    <row r="8" spans="1:10" ht="15.95" customHeight="1" x14ac:dyDescent="0.3">
      <c r="A8" s="42" t="s">
        <v>57</v>
      </c>
      <c r="B8" s="43" t="s">
        <v>306</v>
      </c>
      <c r="C8" s="43">
        <v>750</v>
      </c>
      <c r="D8" s="43" t="s">
        <v>299</v>
      </c>
      <c r="E8" s="43">
        <v>2.4</v>
      </c>
      <c r="F8" s="43">
        <v>7</v>
      </c>
      <c r="G8" s="43" t="s">
        <v>300</v>
      </c>
      <c r="H8" s="43" t="s">
        <v>301</v>
      </c>
      <c r="I8" s="43" t="s">
        <v>308</v>
      </c>
      <c r="J8" s="43"/>
    </row>
    <row r="9" spans="1:10" ht="15.95" customHeight="1" x14ac:dyDescent="0.3">
      <c r="A9" s="23" t="s">
        <v>41</v>
      </c>
      <c r="B9" s="4" t="s">
        <v>309</v>
      </c>
      <c r="C9" s="4">
        <v>1000</v>
      </c>
      <c r="D9" s="4" t="s">
        <v>299</v>
      </c>
      <c r="E9" s="4">
        <v>3.4</v>
      </c>
      <c r="F9" s="4">
        <v>10</v>
      </c>
      <c r="G9" s="4" t="s">
        <v>300</v>
      </c>
      <c r="H9" s="4" t="s">
        <v>301</v>
      </c>
      <c r="I9" s="4" t="s">
        <v>310</v>
      </c>
      <c r="J9" s="4"/>
    </row>
    <row r="10" spans="1:10" ht="15.95" customHeight="1" x14ac:dyDescent="0.3">
      <c r="A10" s="42" t="s">
        <v>234</v>
      </c>
      <c r="B10" s="43" t="s">
        <v>311</v>
      </c>
      <c r="C10" s="43">
        <v>1500</v>
      </c>
      <c r="D10" s="43" t="s">
        <v>299</v>
      </c>
      <c r="E10" s="43">
        <v>5.5</v>
      </c>
      <c r="F10" s="43">
        <v>15</v>
      </c>
      <c r="G10" s="43" t="s">
        <v>300</v>
      </c>
      <c r="H10" s="43" t="s">
        <v>301</v>
      </c>
      <c r="I10" s="43"/>
      <c r="J10" s="43"/>
    </row>
    <row r="11" spans="1:10" ht="15.95" customHeight="1" x14ac:dyDescent="0.3">
      <c r="A11" s="23" t="s">
        <v>235</v>
      </c>
      <c r="B11" s="4" t="s">
        <v>312</v>
      </c>
      <c r="C11" s="4">
        <v>2000</v>
      </c>
      <c r="D11" s="4" t="s">
        <v>299</v>
      </c>
      <c r="E11" s="4">
        <v>7.5</v>
      </c>
      <c r="F11" s="4">
        <v>20</v>
      </c>
      <c r="G11" s="4" t="s">
        <v>300</v>
      </c>
      <c r="H11" s="4" t="s">
        <v>301</v>
      </c>
      <c r="I11" s="4"/>
      <c r="J11" s="4"/>
    </row>
    <row r="12" spans="1:10" ht="15.95" customHeight="1" x14ac:dyDescent="0.3">
      <c r="A12" s="42" t="s">
        <v>236</v>
      </c>
      <c r="B12" s="43" t="s">
        <v>313</v>
      </c>
      <c r="C12" s="43">
        <v>3000</v>
      </c>
      <c r="D12" s="43" t="s">
        <v>299</v>
      </c>
      <c r="E12" s="43">
        <v>11</v>
      </c>
      <c r="F12" s="43">
        <v>30</v>
      </c>
      <c r="G12" s="43" t="s">
        <v>300</v>
      </c>
      <c r="H12" s="43" t="s">
        <v>301</v>
      </c>
      <c r="I12" s="43" t="s">
        <v>314</v>
      </c>
      <c r="J12" s="43"/>
    </row>
    <row r="13" spans="1:10" ht="15.95" customHeight="1" x14ac:dyDescent="0.3"/>
    <row r="14" spans="1:10" x14ac:dyDescent="0.3">
      <c r="A14" s="66" t="s">
        <v>315</v>
      </c>
      <c r="B14" s="47"/>
      <c r="C14" s="47"/>
      <c r="D14" s="47"/>
      <c r="E14" s="47"/>
      <c r="F14" s="47"/>
      <c r="G14" s="47"/>
      <c r="H14" s="47"/>
      <c r="I14" s="47"/>
      <c r="J14" s="47"/>
    </row>
  </sheetData>
  <mergeCells count="2">
    <mergeCell ref="A1:J1"/>
    <mergeCell ref="A14:J14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sqref="A1:XFD1048576"/>
    </sheetView>
  </sheetViews>
  <sheetFormatPr defaultRowHeight="16.5" x14ac:dyDescent="0.3"/>
  <cols>
    <col min="1" max="1" width="16" customWidth="1"/>
    <col min="2" max="2" width="14" customWidth="1"/>
    <col min="3" max="3" width="16" customWidth="1"/>
    <col min="4" max="4" width="12" customWidth="1"/>
    <col min="5" max="6" width="22" customWidth="1"/>
    <col min="7" max="7" width="18" customWidth="1"/>
    <col min="8" max="8" width="20" customWidth="1"/>
    <col min="9" max="9" width="14" customWidth="1"/>
    <col min="10" max="10" width="8" customWidth="1"/>
  </cols>
  <sheetData>
    <row r="1" spans="1:10" ht="21.95" customHeight="1" x14ac:dyDescent="0.3">
      <c r="A1" s="69" t="s">
        <v>316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20.100000000000001" customHeight="1" x14ac:dyDescent="0.3">
      <c r="A2" s="21" t="s">
        <v>290</v>
      </c>
      <c r="B2" s="21" t="s">
        <v>317</v>
      </c>
      <c r="C2" s="21" t="s">
        <v>318</v>
      </c>
      <c r="D2" s="21" t="s">
        <v>319</v>
      </c>
      <c r="E2" s="21" t="s">
        <v>320</v>
      </c>
      <c r="F2" s="21" t="s">
        <v>321</v>
      </c>
      <c r="G2" s="21" t="s">
        <v>291</v>
      </c>
      <c r="H2" s="21" t="s">
        <v>245</v>
      </c>
      <c r="I2" s="21" t="s">
        <v>7</v>
      </c>
      <c r="J2" s="21"/>
    </row>
    <row r="3" spans="1:10" ht="15.95" customHeight="1" x14ac:dyDescent="0.3">
      <c r="A3" s="30" t="s">
        <v>237</v>
      </c>
      <c r="B3" s="8" t="s">
        <v>322</v>
      </c>
      <c r="C3" s="8">
        <v>4.2</v>
      </c>
      <c r="D3" s="8" t="s">
        <v>323</v>
      </c>
      <c r="E3" s="8" t="s">
        <v>324</v>
      </c>
      <c r="F3" s="8" t="s">
        <v>325</v>
      </c>
      <c r="G3" s="30" t="s">
        <v>326</v>
      </c>
      <c r="H3" s="30" t="s">
        <v>327</v>
      </c>
      <c r="I3" s="8"/>
    </row>
    <row r="4" spans="1:10" ht="15.95" customHeight="1" x14ac:dyDescent="0.3">
      <c r="A4" s="42" t="s">
        <v>238</v>
      </c>
      <c r="B4" s="43" t="s">
        <v>328</v>
      </c>
      <c r="C4" s="43">
        <v>8</v>
      </c>
      <c r="D4" s="43" t="s">
        <v>323</v>
      </c>
      <c r="E4" s="43" t="s">
        <v>324</v>
      </c>
      <c r="F4" s="43" t="s">
        <v>329</v>
      </c>
      <c r="G4" s="42" t="s">
        <v>326</v>
      </c>
      <c r="H4" s="42" t="s">
        <v>330</v>
      </c>
      <c r="I4" s="43"/>
    </row>
    <row r="5" spans="1:10" ht="15.95" customHeight="1" x14ac:dyDescent="0.3">
      <c r="A5" s="30" t="s">
        <v>331</v>
      </c>
      <c r="B5" s="8" t="s">
        <v>332</v>
      </c>
      <c r="C5" s="8">
        <v>2</v>
      </c>
      <c r="D5" s="8" t="s">
        <v>323</v>
      </c>
      <c r="E5" s="8" t="s">
        <v>333</v>
      </c>
      <c r="F5" s="8" t="s">
        <v>329</v>
      </c>
      <c r="G5" s="30" t="s">
        <v>326</v>
      </c>
      <c r="H5" s="30" t="s">
        <v>334</v>
      </c>
      <c r="I5" s="8"/>
    </row>
    <row r="6" spans="1:10" ht="15.95" customHeight="1" x14ac:dyDescent="0.3">
      <c r="A6" s="42" t="s">
        <v>335</v>
      </c>
      <c r="B6" s="43" t="s">
        <v>332</v>
      </c>
      <c r="C6" s="43">
        <v>2</v>
      </c>
      <c r="D6" s="43" t="s">
        <v>323</v>
      </c>
      <c r="E6" s="43" t="s">
        <v>336</v>
      </c>
      <c r="F6" s="43" t="s">
        <v>329</v>
      </c>
      <c r="G6" s="42" t="s">
        <v>326</v>
      </c>
      <c r="H6" s="42" t="s">
        <v>337</v>
      </c>
      <c r="I6" s="43"/>
    </row>
    <row r="7" spans="1:10" ht="15.95" customHeight="1" x14ac:dyDescent="0.3">
      <c r="A7" s="30" t="s">
        <v>338</v>
      </c>
      <c r="B7" s="8" t="s">
        <v>332</v>
      </c>
      <c r="C7" s="8">
        <v>4</v>
      </c>
      <c r="D7" s="8" t="s">
        <v>323</v>
      </c>
      <c r="E7" s="8" t="s">
        <v>333</v>
      </c>
      <c r="F7" s="8" t="s">
        <v>329</v>
      </c>
      <c r="G7" s="30" t="s">
        <v>326</v>
      </c>
      <c r="H7" s="30" t="s">
        <v>339</v>
      </c>
      <c r="I7" s="8"/>
    </row>
    <row r="8" spans="1:10" x14ac:dyDescent="0.3">
      <c r="A8" s="42" t="s">
        <v>340</v>
      </c>
      <c r="B8" s="43" t="s">
        <v>341</v>
      </c>
      <c r="C8" s="43">
        <v>3</v>
      </c>
      <c r="D8" s="43" t="s">
        <v>271</v>
      </c>
      <c r="E8" s="43" t="s">
        <v>342</v>
      </c>
      <c r="F8" s="43" t="s">
        <v>343</v>
      </c>
      <c r="G8" s="42" t="s">
        <v>344</v>
      </c>
      <c r="H8" s="42" t="s">
        <v>345</v>
      </c>
      <c r="I8" s="43"/>
    </row>
    <row r="10" spans="1:10" x14ac:dyDescent="0.3">
      <c r="A10" s="66" t="s">
        <v>346</v>
      </c>
      <c r="B10" s="47"/>
      <c r="C10" s="47"/>
      <c r="D10" s="47"/>
      <c r="E10" s="47"/>
      <c r="F10" s="47"/>
      <c r="G10" s="47"/>
      <c r="H10" s="47"/>
      <c r="I10" s="47"/>
      <c r="J10" s="47"/>
    </row>
  </sheetData>
  <mergeCells count="2">
    <mergeCell ref="A1:J1"/>
    <mergeCell ref="A10:J10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sqref="A1:G1"/>
    </sheetView>
  </sheetViews>
  <sheetFormatPr defaultRowHeight="16.5" x14ac:dyDescent="0.3"/>
  <cols>
    <col min="1" max="1" width="14" customWidth="1"/>
    <col min="2" max="2" width="18" customWidth="1"/>
    <col min="3" max="3" width="12" customWidth="1"/>
    <col min="4" max="4" width="20" customWidth="1"/>
    <col min="5" max="5" width="18" customWidth="1"/>
    <col min="6" max="6" width="20" customWidth="1"/>
    <col min="7" max="7" width="14" customWidth="1"/>
  </cols>
  <sheetData>
    <row r="1" spans="1:7" ht="21.95" customHeight="1" x14ac:dyDescent="0.3">
      <c r="A1" s="67" t="s">
        <v>239</v>
      </c>
      <c r="B1" s="47"/>
      <c r="C1" s="47"/>
      <c r="D1" s="47"/>
      <c r="E1" s="47"/>
      <c r="F1" s="47"/>
      <c r="G1" s="47"/>
    </row>
    <row r="2" spans="1:7" ht="21.95" customHeight="1" x14ac:dyDescent="0.3">
      <c r="A2" s="21" t="s">
        <v>240</v>
      </c>
      <c r="B2" s="21" t="s">
        <v>241</v>
      </c>
      <c r="C2" s="21" t="s">
        <v>242</v>
      </c>
      <c r="D2" s="21" t="s">
        <v>243</v>
      </c>
      <c r="E2" s="21" t="s">
        <v>244</v>
      </c>
      <c r="F2" s="21" t="s">
        <v>245</v>
      </c>
      <c r="G2" s="21" t="s">
        <v>7</v>
      </c>
    </row>
    <row r="3" spans="1:7" ht="15.95" customHeight="1" x14ac:dyDescent="0.3">
      <c r="A3" s="26">
        <v>3</v>
      </c>
      <c r="B3" s="44" t="s">
        <v>246</v>
      </c>
      <c r="C3" s="44" t="s">
        <v>247</v>
      </c>
      <c r="D3" s="44" t="s">
        <v>248</v>
      </c>
      <c r="E3" s="44" t="s">
        <v>249</v>
      </c>
      <c r="F3" s="45" t="s">
        <v>250</v>
      </c>
      <c r="G3" s="44"/>
    </row>
    <row r="4" spans="1:7" ht="15.95" customHeight="1" x14ac:dyDescent="0.3">
      <c r="A4" s="26">
        <v>5</v>
      </c>
      <c r="B4" s="43" t="s">
        <v>251</v>
      </c>
      <c r="C4" s="43" t="s">
        <v>247</v>
      </c>
      <c r="D4" s="43" t="s">
        <v>252</v>
      </c>
      <c r="E4" s="43" t="s">
        <v>253</v>
      </c>
      <c r="F4" s="42" t="s">
        <v>254</v>
      </c>
      <c r="G4" s="43"/>
    </row>
    <row r="5" spans="1:7" ht="15.95" customHeight="1" x14ac:dyDescent="0.3">
      <c r="A5" s="26">
        <v>10</v>
      </c>
      <c r="B5" s="44" t="s">
        <v>255</v>
      </c>
      <c r="C5" s="44" t="s">
        <v>247</v>
      </c>
      <c r="D5" s="44" t="s">
        <v>256</v>
      </c>
      <c r="E5" s="44" t="s">
        <v>257</v>
      </c>
      <c r="F5" s="45" t="s">
        <v>258</v>
      </c>
      <c r="G5" s="44"/>
    </row>
    <row r="6" spans="1:7" ht="15.95" customHeight="1" x14ac:dyDescent="0.3">
      <c r="A6" s="26">
        <v>15</v>
      </c>
      <c r="B6" s="43" t="s">
        <v>259</v>
      </c>
      <c r="C6" s="43" t="s">
        <v>247</v>
      </c>
      <c r="D6" s="43" t="s">
        <v>260</v>
      </c>
      <c r="E6" s="43" t="s">
        <v>261</v>
      </c>
      <c r="F6" s="42"/>
      <c r="G6" s="43"/>
    </row>
    <row r="7" spans="1:7" ht="15.95" customHeight="1" x14ac:dyDescent="0.3">
      <c r="A7" s="26">
        <v>20</v>
      </c>
      <c r="B7" s="44" t="s">
        <v>262</v>
      </c>
      <c r="C7" s="44" t="s">
        <v>247</v>
      </c>
      <c r="D7" s="44" t="s">
        <v>263</v>
      </c>
      <c r="E7" s="44" t="s">
        <v>264</v>
      </c>
      <c r="F7" s="45" t="s">
        <v>265</v>
      </c>
      <c r="G7" s="44"/>
    </row>
    <row r="8" spans="1:7" ht="15.95" customHeight="1" x14ac:dyDescent="0.3">
      <c r="A8" s="26">
        <v>25</v>
      </c>
      <c r="B8" s="43" t="s">
        <v>266</v>
      </c>
      <c r="C8" s="43" t="s">
        <v>247</v>
      </c>
      <c r="D8" s="43" t="s">
        <v>267</v>
      </c>
      <c r="E8" s="43" t="s">
        <v>268</v>
      </c>
      <c r="F8" s="42"/>
      <c r="G8" s="43"/>
    </row>
    <row r="9" spans="1:7" ht="15.95" customHeight="1" x14ac:dyDescent="0.3">
      <c r="A9" s="26">
        <v>30</v>
      </c>
      <c r="B9" s="44" t="s">
        <v>269</v>
      </c>
      <c r="C9" s="44" t="s">
        <v>247</v>
      </c>
      <c r="D9" s="44" t="s">
        <v>270</v>
      </c>
      <c r="E9" s="44" t="s">
        <v>271</v>
      </c>
      <c r="F9" s="45" t="s">
        <v>272</v>
      </c>
      <c r="G9" s="44"/>
    </row>
    <row r="10" spans="1:7" ht="15.95" customHeight="1" x14ac:dyDescent="0.3">
      <c r="A10" s="26">
        <v>40</v>
      </c>
      <c r="B10" s="43" t="s">
        <v>273</v>
      </c>
      <c r="C10" s="43" t="s">
        <v>247</v>
      </c>
      <c r="D10" s="43" t="s">
        <v>274</v>
      </c>
      <c r="E10" s="43" t="s">
        <v>271</v>
      </c>
      <c r="F10" s="42"/>
      <c r="G10" s="43"/>
    </row>
    <row r="11" spans="1:7" ht="15.95" customHeight="1" x14ac:dyDescent="0.3">
      <c r="A11" s="26">
        <v>50</v>
      </c>
      <c r="B11" s="44" t="s">
        <v>275</v>
      </c>
      <c r="C11" s="44" t="s">
        <v>247</v>
      </c>
      <c r="D11" s="44" t="s">
        <v>276</v>
      </c>
      <c r="E11" s="44" t="s">
        <v>271</v>
      </c>
      <c r="F11" s="45"/>
      <c r="G11" s="44"/>
    </row>
    <row r="12" spans="1:7" ht="15.95" customHeight="1" x14ac:dyDescent="0.3">
      <c r="A12" s="26">
        <v>63</v>
      </c>
      <c r="B12" s="43" t="s">
        <v>277</v>
      </c>
      <c r="C12" s="43" t="s">
        <v>247</v>
      </c>
      <c r="D12" s="43" t="s">
        <v>278</v>
      </c>
      <c r="E12" s="43" t="s">
        <v>271</v>
      </c>
      <c r="F12" s="42" t="s">
        <v>279</v>
      </c>
      <c r="G12" s="43"/>
    </row>
    <row r="13" spans="1:7" ht="15.95" customHeight="1" x14ac:dyDescent="0.3">
      <c r="A13" s="26">
        <v>75</v>
      </c>
      <c r="B13" s="44" t="s">
        <v>280</v>
      </c>
      <c r="C13" s="44" t="s">
        <v>247</v>
      </c>
      <c r="D13" s="44" t="s">
        <v>281</v>
      </c>
      <c r="E13" s="44" t="s">
        <v>271</v>
      </c>
      <c r="F13" s="45" t="s">
        <v>282</v>
      </c>
      <c r="G13" s="44"/>
    </row>
    <row r="14" spans="1:7" ht="15.95" customHeight="1" x14ac:dyDescent="0.3">
      <c r="A14" s="26">
        <v>100</v>
      </c>
      <c r="B14" s="43" t="s">
        <v>283</v>
      </c>
      <c r="C14" s="43" t="s">
        <v>247</v>
      </c>
      <c r="D14" s="43" t="s">
        <v>284</v>
      </c>
      <c r="E14" s="43" t="s">
        <v>271</v>
      </c>
      <c r="F14" s="42"/>
      <c r="G14" s="43"/>
    </row>
    <row r="15" spans="1:7" ht="15.95" customHeight="1" x14ac:dyDescent="0.3">
      <c r="A15" s="26">
        <v>125</v>
      </c>
      <c r="B15" s="44" t="s">
        <v>285</v>
      </c>
      <c r="C15" s="44" t="s">
        <v>286</v>
      </c>
      <c r="D15" s="44" t="s">
        <v>287</v>
      </c>
      <c r="E15" s="44" t="s">
        <v>271</v>
      </c>
      <c r="F15" s="45" t="s">
        <v>288</v>
      </c>
      <c r="G15" s="44"/>
    </row>
  </sheetData>
  <mergeCells count="1">
    <mergeCell ref="A1:G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전류·용량 계산표</vt:lpstr>
      <vt:lpstr>파나소닉A6규격</vt:lpstr>
      <vt:lpstr>파스텍EziServo규격</vt:lpstr>
      <vt:lpstr>차단기 규격 참조표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건승 지</cp:lastModifiedBy>
  <dcterms:created xsi:type="dcterms:W3CDTF">2026-04-03T07:30:17Z</dcterms:created>
  <dcterms:modified xsi:type="dcterms:W3CDTF">2026-04-03T07:42:46Z</dcterms:modified>
</cp:coreProperties>
</file>