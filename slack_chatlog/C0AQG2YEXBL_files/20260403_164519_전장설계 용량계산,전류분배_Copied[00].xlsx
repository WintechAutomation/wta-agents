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52\motion\1.Robot &amp; Motion\38. 대구텍\4. 검사기\1. HIMF22506002 - MMC검사기 F2 #1\"/>
    </mc:Choice>
  </mc:AlternateContent>
  <xr:revisionPtr revIDLastSave="0" documentId="13_ncr:1_{45B650F1-F05C-4A67-98DE-5CA1FF1AA6D4}" xr6:coauthVersionLast="47" xr6:coauthVersionMax="47" xr10:uidLastSave="{00000000-0000-0000-0000-000000000000}"/>
  <bookViews>
    <workbookView xWindow="46680" yWindow="-120" windowWidth="29040" windowHeight="15720" xr2:uid="{00000000-000D-0000-FFFF-FFFF00000000}"/>
  </bookViews>
  <sheets>
    <sheet name="장비 용량 계산" sheetId="4" r:id="rId1"/>
    <sheet name="Sheet1" sheetId="1" r:id="rId2"/>
    <sheet name="Sheet2" sheetId="2" r:id="rId3"/>
    <sheet name="Sheet3" sheetId="3" r:id="rId4"/>
  </sheets>
  <definedNames>
    <definedName name="_xlnm.Print_Area" localSheetId="0">'장비 용량 계산'!$A$1:$N$142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4" l="1"/>
  <c r="K12" i="4"/>
  <c r="J91" i="4"/>
  <c r="F8" i="4"/>
  <c r="K117" i="4"/>
  <c r="K113" i="4"/>
  <c r="K109" i="4"/>
  <c r="J137" i="4"/>
  <c r="J138" i="4"/>
  <c r="K89" i="4"/>
  <c r="C55" i="4"/>
  <c r="D55" i="4" s="1"/>
  <c r="C56" i="4"/>
  <c r="D56" i="4" s="1"/>
  <c r="C57" i="4"/>
  <c r="D57" i="4" s="1"/>
  <c r="C58" i="4"/>
  <c r="D58" i="4" s="1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G21" i="4" s="1"/>
  <c r="C22" i="4"/>
  <c r="G22" i="4" s="1"/>
  <c r="C23" i="4"/>
  <c r="G23" i="4" s="1"/>
  <c r="C24" i="4"/>
  <c r="G24" i="4" s="1"/>
  <c r="C25" i="4"/>
  <c r="G25" i="4" s="1"/>
  <c r="C26" i="4"/>
  <c r="G26" i="4" s="1"/>
  <c r="C27" i="4"/>
  <c r="E27" i="4" s="1"/>
  <c r="C28" i="4"/>
  <c r="G28" i="4" s="1"/>
  <c r="C29" i="4"/>
  <c r="G29" i="4" s="1"/>
  <c r="C30" i="4"/>
  <c r="G30" i="4" s="1"/>
  <c r="C31" i="4"/>
  <c r="G31" i="4" s="1"/>
  <c r="C32" i="4"/>
  <c r="G32" i="4" s="1"/>
  <c r="C33" i="4"/>
  <c r="G33" i="4" s="1"/>
  <c r="C34" i="4"/>
  <c r="G34" i="4" s="1"/>
  <c r="C35" i="4"/>
  <c r="G35" i="4" s="1"/>
  <c r="C36" i="4"/>
  <c r="G36" i="4" s="1"/>
  <c r="C37" i="4"/>
  <c r="G37" i="4" s="1"/>
  <c r="C38" i="4"/>
  <c r="G38" i="4" s="1"/>
  <c r="C39" i="4"/>
  <c r="G39" i="4" s="1"/>
  <c r="C40" i="4"/>
  <c r="D40" i="4" s="1"/>
  <c r="C41" i="4"/>
  <c r="D41" i="4" s="1"/>
  <c r="C42" i="4"/>
  <c r="D42" i="4" s="1"/>
  <c r="C43" i="4"/>
  <c r="E43" i="4" s="1"/>
  <c r="C44" i="4"/>
  <c r="G44" i="4" s="1"/>
  <c r="C45" i="4"/>
  <c r="E45" i="4" s="1"/>
  <c r="C46" i="4"/>
  <c r="G46" i="4" s="1"/>
  <c r="C47" i="4"/>
  <c r="E47" i="4" s="1"/>
  <c r="C48" i="4"/>
  <c r="G48" i="4" s="1"/>
  <c r="C49" i="4"/>
  <c r="G49" i="4" s="1"/>
  <c r="C50" i="4"/>
  <c r="D50" i="4" s="1"/>
  <c r="C51" i="4"/>
  <c r="E51" i="4" s="1"/>
  <c r="C52" i="4"/>
  <c r="G52" i="4" s="1"/>
  <c r="C53" i="4"/>
  <c r="E53" i="4" s="1"/>
  <c r="C54" i="4"/>
  <c r="D54" i="4" s="1"/>
  <c r="C59" i="4"/>
  <c r="G59" i="4" s="1"/>
  <c r="C60" i="4"/>
  <c r="G60" i="4" s="1"/>
  <c r="C61" i="4"/>
  <c r="G61" i="4" s="1"/>
  <c r="C62" i="4"/>
  <c r="G62" i="4" s="1"/>
  <c r="C63" i="4"/>
  <c r="G63" i="4" s="1"/>
  <c r="C64" i="4"/>
  <c r="G64" i="4" s="1"/>
  <c r="C65" i="4"/>
  <c r="G65" i="4" s="1"/>
  <c r="C66" i="4"/>
  <c r="G66" i="4" s="1"/>
  <c r="C67" i="4"/>
  <c r="D67" i="4" s="1"/>
  <c r="C68" i="4"/>
  <c r="E68" i="4" s="1"/>
  <c r="C69" i="4"/>
  <c r="G69" i="4" s="1"/>
  <c r="C70" i="4"/>
  <c r="E70" i="4" s="1"/>
  <c r="C71" i="4"/>
  <c r="D71" i="4" s="1"/>
  <c r="C72" i="4"/>
  <c r="D72" i="4" s="1"/>
  <c r="C73" i="4"/>
  <c r="D73" i="4" s="1"/>
  <c r="C74" i="4"/>
  <c r="E74" i="4" s="1"/>
  <c r="C75" i="4"/>
  <c r="G75" i="4" s="1"/>
  <c r="C12" i="4"/>
  <c r="E12" i="4" s="1"/>
  <c r="G12" i="4"/>
  <c r="G15" i="4"/>
  <c r="E67" i="4" l="1"/>
  <c r="E66" i="4"/>
  <c r="E64" i="4"/>
  <c r="G19" i="4"/>
  <c r="G53" i="4"/>
  <c r="G20" i="4"/>
  <c r="G55" i="4"/>
  <c r="G16" i="4"/>
  <c r="D62" i="4"/>
  <c r="G51" i="4"/>
  <c r="G17" i="4"/>
  <c r="E65" i="4"/>
  <c r="E63" i="4"/>
  <c r="E62" i="4"/>
  <c r="E60" i="4"/>
  <c r="E50" i="4"/>
  <c r="G47" i="4"/>
  <c r="E48" i="4"/>
  <c r="E42" i="4"/>
  <c r="E41" i="4"/>
  <c r="E40" i="4"/>
  <c r="E39" i="4"/>
  <c r="G57" i="4"/>
  <c r="E57" i="4"/>
  <c r="G18" i="4"/>
  <c r="G56" i="4"/>
  <c r="E56" i="4"/>
  <c r="E55" i="4"/>
  <c r="G58" i="4"/>
  <c r="E58" i="4"/>
  <c r="E61" i="4"/>
  <c r="E49" i="4"/>
  <c r="G54" i="4"/>
  <c r="E38" i="4"/>
  <c r="D66" i="4"/>
  <c r="E37" i="4"/>
  <c r="E36" i="4"/>
  <c r="E35" i="4"/>
  <c r="E34" i="4"/>
  <c r="E33" i="4"/>
  <c r="D60" i="4"/>
  <c r="E32" i="4"/>
  <c r="E31" i="4"/>
  <c r="G27" i="4"/>
  <c r="E30" i="4"/>
  <c r="G50" i="4"/>
  <c r="E75" i="4"/>
  <c r="E29" i="4"/>
  <c r="E28" i="4"/>
  <c r="E72" i="4"/>
  <c r="D63" i="4"/>
  <c r="H63" i="4" s="1"/>
  <c r="G14" i="4"/>
  <c r="E71" i="4"/>
  <c r="E26" i="4"/>
  <c r="E69" i="4"/>
  <c r="E73" i="4"/>
  <c r="E59" i="4"/>
  <c r="E25" i="4"/>
  <c r="G13" i="4"/>
  <c r="G71" i="4"/>
  <c r="G67" i="4"/>
  <c r="E24" i="4"/>
  <c r="E23" i="4"/>
  <c r="E54" i="4"/>
  <c r="E22" i="4"/>
  <c r="E21" i="4"/>
  <c r="E52" i="4"/>
  <c r="D46" i="4"/>
  <c r="E46" i="4"/>
  <c r="G45" i="4"/>
  <c r="G42" i="4"/>
  <c r="E44" i="4"/>
  <c r="G74" i="4"/>
  <c r="G70" i="4"/>
  <c r="G43" i="4"/>
  <c r="D44" i="4"/>
  <c r="G73" i="4"/>
  <c r="G68" i="4"/>
  <c r="D74" i="4"/>
  <c r="G72" i="4"/>
  <c r="G41" i="4"/>
  <c r="G40" i="4"/>
  <c r="D69" i="4"/>
  <c r="D43" i="4"/>
  <c r="D61" i="4"/>
  <c r="D70" i="4"/>
  <c r="D65" i="4"/>
  <c r="H65" i="4" s="1"/>
  <c r="J65" i="4" s="1"/>
  <c r="D64" i="4"/>
  <c r="D75" i="4"/>
  <c r="D68" i="4"/>
  <c r="D59" i="4"/>
  <c r="D45" i="4"/>
  <c r="D47" i="4"/>
  <c r="D53" i="4"/>
  <c r="D51" i="4"/>
  <c r="D48" i="4"/>
  <c r="D52" i="4"/>
  <c r="H52" i="4" s="1"/>
  <c r="J52" i="4" s="1"/>
  <c r="D49" i="4"/>
  <c r="H57" i="4" l="1"/>
  <c r="J57" i="4" s="1"/>
  <c r="H48" i="4"/>
  <c r="J48" i="4" s="1"/>
  <c r="H47" i="4"/>
  <c r="J47" i="4" s="1"/>
  <c r="H71" i="4"/>
  <c r="J71" i="4" s="1"/>
  <c r="H61" i="4"/>
  <c r="J61" i="4" s="1"/>
  <c r="H74" i="4"/>
  <c r="J74" i="4" s="1"/>
  <c r="H55" i="4"/>
  <c r="J55" i="4" s="1"/>
  <c r="H56" i="4"/>
  <c r="J56" i="4" s="1"/>
  <c r="H58" i="4"/>
  <c r="J58" i="4" s="1"/>
  <c r="H67" i="4"/>
  <c r="J67" i="4" s="1"/>
  <c r="H69" i="4"/>
  <c r="H45" i="4"/>
  <c r="J45" i="4" s="1"/>
  <c r="H70" i="4"/>
  <c r="J70" i="4" s="1"/>
  <c r="H43" i="4"/>
  <c r="J43" i="4" s="1"/>
  <c r="H50" i="4"/>
  <c r="J50" i="4" s="1"/>
  <c r="H54" i="4"/>
  <c r="J54" i="4" s="1"/>
  <c r="H51" i="4"/>
  <c r="J51" i="4" s="1"/>
  <c r="H42" i="4"/>
  <c r="J42" i="4" s="1"/>
  <c r="H46" i="4"/>
  <c r="J46" i="4" s="1"/>
  <c r="H72" i="4"/>
  <c r="J72" i="4" s="1"/>
  <c r="H60" i="4"/>
  <c r="J60" i="4" s="1"/>
  <c r="H73" i="4"/>
  <c r="J73" i="4" s="1"/>
  <c r="H44" i="4"/>
  <c r="J44" i="4" s="1"/>
  <c r="H66" i="4"/>
  <c r="J66" i="4" s="1"/>
  <c r="H59" i="4"/>
  <c r="J59" i="4" s="1"/>
  <c r="J69" i="4"/>
  <c r="H64" i="4"/>
  <c r="J64" i="4" s="1"/>
  <c r="H41" i="4"/>
  <c r="J41" i="4" s="1"/>
  <c r="H68" i="4"/>
  <c r="J68" i="4" s="1"/>
  <c r="H53" i="4"/>
  <c r="J53" i="4" s="1"/>
  <c r="H62" i="4"/>
  <c r="J62" i="4" s="1"/>
  <c r="H49" i="4"/>
  <c r="J49" i="4" s="1"/>
  <c r="H40" i="4"/>
  <c r="J40" i="4" s="1"/>
  <c r="H75" i="4"/>
  <c r="J75" i="4" s="1"/>
  <c r="J63" i="4"/>
  <c r="K64" i="4" l="1"/>
  <c r="K43" i="4"/>
  <c r="D12" i="4"/>
  <c r="D13" i="4"/>
  <c r="D14" i="4"/>
  <c r="J113" i="4" l="1"/>
  <c r="J88" i="4"/>
  <c r="J136" i="4"/>
  <c r="J135" i="4"/>
  <c r="J134" i="4"/>
  <c r="J133" i="4"/>
  <c r="J120" i="4"/>
  <c r="J119" i="4"/>
  <c r="J118" i="4"/>
  <c r="J117" i="4"/>
  <c r="H12" i="4" l="1"/>
  <c r="J12" i="4" s="1"/>
  <c r="H13" i="4"/>
  <c r="J13" i="4" s="1"/>
  <c r="H14" i="4"/>
  <c r="J14" i="4" s="1"/>
  <c r="J124" i="4" l="1"/>
  <c r="J123" i="4"/>
  <c r="J122" i="4"/>
  <c r="J121" i="4"/>
  <c r="M105" i="4" s="1"/>
  <c r="J116" i="4"/>
  <c r="J115" i="4"/>
  <c r="D20" i="4"/>
  <c r="D22" i="4"/>
  <c r="D23" i="4"/>
  <c r="D26" i="4"/>
  <c r="D27" i="4"/>
  <c r="D29" i="4"/>
  <c r="D30" i="4"/>
  <c r="D31" i="4"/>
  <c r="D33" i="4"/>
  <c r="D34" i="4"/>
  <c r="D35" i="4"/>
  <c r="D37" i="4"/>
  <c r="D38" i="4"/>
  <c r="D39" i="4"/>
  <c r="J112" i="4"/>
  <c r="D36" i="4" l="1"/>
  <c r="D32" i="4"/>
  <c r="D28" i="4"/>
  <c r="D24" i="4"/>
  <c r="D25" i="4"/>
  <c r="H25" i="4" s="1"/>
  <c r="J25" i="4" s="1"/>
  <c r="D21" i="4"/>
  <c r="H21" i="4" s="1"/>
  <c r="J21" i="4" s="1"/>
  <c r="H28" i="4" l="1"/>
  <c r="J28" i="4" s="1"/>
  <c r="H32" i="4"/>
  <c r="J32" i="4" s="1"/>
  <c r="H30" i="4"/>
  <c r="J30" i="4" s="1"/>
  <c r="H20" i="4"/>
  <c r="J20" i="4" s="1"/>
  <c r="H38" i="4"/>
  <c r="J38" i="4" s="1"/>
  <c r="H23" i="4"/>
  <c r="J23" i="4" s="1"/>
  <c r="H37" i="4"/>
  <c r="J37" i="4" s="1"/>
  <c r="H31" i="4"/>
  <c r="J31" i="4" s="1"/>
  <c r="H34" i="4"/>
  <c r="J34" i="4" s="1"/>
  <c r="H26" i="4"/>
  <c r="J26" i="4" s="1"/>
  <c r="H33" i="4"/>
  <c r="J33" i="4" s="1"/>
  <c r="H29" i="4"/>
  <c r="J29" i="4" s="1"/>
  <c r="H24" i="4"/>
  <c r="J24" i="4" s="1"/>
  <c r="H39" i="4"/>
  <c r="J39" i="4" s="1"/>
  <c r="H22" i="4"/>
  <c r="J22" i="4" s="1"/>
  <c r="H27" i="4"/>
  <c r="J27" i="4" s="1"/>
  <c r="H36" i="4"/>
  <c r="J36" i="4" s="1"/>
  <c r="H35" i="4"/>
  <c r="J35" i="4" s="1"/>
  <c r="J110" i="4" l="1"/>
  <c r="D19" i="4" l="1"/>
  <c r="D18" i="4"/>
  <c r="D17" i="4"/>
  <c r="D16" i="4"/>
  <c r="D15" i="4"/>
  <c r="H17" i="4" l="1"/>
  <c r="J17" i="4" s="1"/>
  <c r="H18" i="4"/>
  <c r="H15" i="4"/>
  <c r="J15" i="4" s="1"/>
  <c r="H16" i="4"/>
  <c r="H19" i="4"/>
  <c r="J19" i="4" s="1"/>
  <c r="J18" i="4"/>
  <c r="J16" i="4"/>
  <c r="K26" i="4" l="1"/>
  <c r="J77" i="4"/>
  <c r="M76" i="4"/>
  <c r="N76" i="4"/>
  <c r="H77" i="4"/>
  <c r="L76" i="4"/>
  <c r="J89" i="4" l="1"/>
  <c r="J87" i="4"/>
  <c r="J90" i="4" l="1"/>
  <c r="J98" i="4" l="1"/>
  <c r="J7" i="4" s="1"/>
  <c r="J6" i="4" s="1"/>
  <c r="J140" i="4" l="1"/>
  <c r="J114" i="4"/>
  <c r="L113" i="4" l="1"/>
  <c r="M104" i="4"/>
  <c r="J109" i="4"/>
  <c r="J111" i="4"/>
  <c r="M103" i="4" l="1"/>
  <c r="H18" i="1"/>
  <c r="H19" i="1"/>
  <c r="H17" i="1"/>
  <c r="R5" i="1"/>
  <c r="R6" i="1"/>
  <c r="R7" i="1"/>
  <c r="R8" i="1"/>
  <c r="R9" i="1"/>
  <c r="R10" i="1"/>
  <c r="R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4" i="1"/>
  <c r="G4" i="1" s="1"/>
  <c r="G15" i="1" l="1"/>
  <c r="J125" i="4"/>
  <c r="J104" i="4" s="1"/>
</calcChain>
</file>

<file path=xl/sharedStrings.xml><?xml version="1.0" encoding="utf-8"?>
<sst xmlns="http://schemas.openxmlformats.org/spreadsheetml/2006/main" count="349" uniqueCount="239">
  <si>
    <t>축</t>
    <phoneticPr fontId="1" type="noConversion"/>
  </si>
  <si>
    <t>Watt</t>
    <phoneticPr fontId="1" type="noConversion"/>
  </si>
  <si>
    <t>A</t>
    <phoneticPr fontId="1" type="noConversion"/>
  </si>
  <si>
    <t>X1</t>
    <phoneticPr fontId="1" type="noConversion"/>
  </si>
  <si>
    <t>X2</t>
    <phoneticPr fontId="1" type="noConversion"/>
  </si>
  <si>
    <t>Y1</t>
    <phoneticPr fontId="1" type="noConversion"/>
  </si>
  <si>
    <t>Y2</t>
    <phoneticPr fontId="1" type="noConversion"/>
  </si>
  <si>
    <t>Z</t>
    <phoneticPr fontId="1" type="noConversion"/>
  </si>
  <si>
    <t>FD</t>
    <phoneticPr fontId="1" type="noConversion"/>
  </si>
  <si>
    <t>EV</t>
    <phoneticPr fontId="1" type="noConversion"/>
  </si>
  <si>
    <t>상</t>
    <phoneticPr fontId="1" type="noConversion"/>
  </si>
  <si>
    <t>전원용량
 (KVA) spec</t>
    <phoneticPr fontId="1" type="noConversion"/>
  </si>
  <si>
    <t>역율적용
(85%)</t>
    <phoneticPr fontId="1" type="noConversion"/>
  </si>
  <si>
    <t>합계</t>
    <phoneticPr fontId="1" type="noConversion"/>
  </si>
  <si>
    <t>여유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</si>
  <si>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</si>
  <si>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</si>
  <si>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</si>
  <si>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X</t>
    <phoneticPr fontId="1" type="noConversion"/>
  </si>
  <si>
    <t>Y1</t>
    <phoneticPr fontId="1" type="noConversion"/>
  </si>
  <si>
    <t>Y2</t>
    <phoneticPr fontId="1" type="noConversion"/>
  </si>
  <si>
    <t>Z</t>
    <phoneticPr fontId="1" type="noConversion"/>
  </si>
  <si>
    <t>X2</t>
    <phoneticPr fontId="1" type="noConversion"/>
  </si>
  <si>
    <t>EV</t>
    <phoneticPr fontId="1" type="noConversion"/>
  </si>
  <si>
    <t>FD</t>
    <phoneticPr fontId="1" type="noConversion"/>
  </si>
  <si>
    <t>합계</t>
    <phoneticPr fontId="1" type="noConversion"/>
  </si>
  <si>
    <t>서보 앰프 용량 계산.</t>
    <phoneticPr fontId="1" type="noConversion"/>
  </si>
  <si>
    <t>부하 종류</t>
    <phoneticPr fontId="1" type="noConversion"/>
  </si>
  <si>
    <t>출력부하</t>
    <phoneticPr fontId="1" type="noConversion"/>
  </si>
  <si>
    <t>입력부하</t>
    <phoneticPr fontId="1" type="noConversion"/>
  </si>
  <si>
    <t>센서</t>
    <phoneticPr fontId="1" type="noConversion"/>
  </si>
  <si>
    <t>내용</t>
    <phoneticPr fontId="1" type="noConversion"/>
  </si>
  <si>
    <t>접점당 전류</t>
    <phoneticPr fontId="1" type="noConversion"/>
  </si>
  <si>
    <t xml:space="preserve">프로젝트명 : </t>
    <phoneticPr fontId="1" type="noConversion"/>
  </si>
  <si>
    <t>AC(220v) 파트</t>
    <phoneticPr fontId="1" type="noConversion"/>
  </si>
  <si>
    <t>DC(24v) 파트</t>
    <phoneticPr fontId="1" type="noConversion"/>
  </si>
  <si>
    <t>총 합계</t>
    <phoneticPr fontId="1" type="noConversion"/>
  </si>
  <si>
    <t>단위(mA)</t>
    <phoneticPr fontId="1" type="noConversion"/>
  </si>
  <si>
    <t>총합계</t>
    <phoneticPr fontId="1" type="noConversion"/>
  </si>
  <si>
    <t>* 솔레노이드, 센서의 각 부하별 종류에 따른 정격전류는 다르나 평균으로 합산.</t>
    <phoneticPr fontId="1" type="noConversion"/>
  </si>
  <si>
    <t>컨트롤러 부하 용량 계산</t>
    <phoneticPr fontId="1" type="noConversion"/>
  </si>
  <si>
    <t>컨트롤러</t>
    <phoneticPr fontId="1" type="noConversion"/>
  </si>
  <si>
    <t>서보I/O</t>
    <phoneticPr fontId="1" type="noConversion"/>
  </si>
  <si>
    <t>리밋센서</t>
    <phoneticPr fontId="1" type="noConversion"/>
  </si>
  <si>
    <t>모델명</t>
    <phoneticPr fontId="1" type="noConversion"/>
  </si>
  <si>
    <t>정격전류</t>
    <phoneticPr fontId="1" type="noConversion"/>
  </si>
  <si>
    <t>수</t>
    <phoneticPr fontId="1" type="noConversion"/>
  </si>
  <si>
    <t xml:space="preserve">회로도 내 넘버링명 </t>
    <phoneticPr fontId="1" type="noConversion"/>
  </si>
  <si>
    <t>1P24/1N24</t>
    <phoneticPr fontId="1" type="noConversion"/>
  </si>
  <si>
    <t>구동용 부하 용량 계산</t>
    <phoneticPr fontId="1" type="noConversion"/>
  </si>
  <si>
    <t>상분배</t>
    <phoneticPr fontId="1" type="noConversion"/>
  </si>
  <si>
    <t>서보 앰프별 퓨즈 용량</t>
    <phoneticPr fontId="1" type="noConversion"/>
  </si>
  <si>
    <t>CSD5</t>
    <phoneticPr fontId="1" type="noConversion"/>
  </si>
  <si>
    <t>드라이브</t>
    <phoneticPr fontId="1" type="noConversion"/>
  </si>
  <si>
    <t>A5BX1</t>
    <phoneticPr fontId="1" type="noConversion"/>
  </si>
  <si>
    <t>01BX1</t>
    <phoneticPr fontId="1" type="noConversion"/>
  </si>
  <si>
    <t>02BX1</t>
    <phoneticPr fontId="1" type="noConversion"/>
  </si>
  <si>
    <t>08BX1</t>
    <phoneticPr fontId="1" type="noConversion"/>
  </si>
  <si>
    <t>10BX1</t>
    <phoneticPr fontId="1" type="noConversion"/>
  </si>
  <si>
    <t>15BX1</t>
    <phoneticPr fontId="1" type="noConversion"/>
  </si>
  <si>
    <t>용량</t>
    <phoneticPr fontId="1" type="noConversion"/>
  </si>
  <si>
    <t>전원용량kVA</t>
    <phoneticPr fontId="1" type="noConversion"/>
  </si>
  <si>
    <t>퓨즈용량Amps</t>
    <phoneticPr fontId="1" type="noConversion"/>
  </si>
  <si>
    <t>SGDV</t>
    <phoneticPr fontId="1" type="noConversion"/>
  </si>
  <si>
    <t>R90A</t>
    <phoneticPr fontId="1" type="noConversion"/>
  </si>
  <si>
    <t>1R6A</t>
    <phoneticPr fontId="1" type="noConversion"/>
  </si>
  <si>
    <t>2R8A</t>
    <phoneticPr fontId="1" type="noConversion"/>
  </si>
  <si>
    <t>3R8A</t>
    <phoneticPr fontId="1" type="noConversion"/>
  </si>
  <si>
    <t>5R5A</t>
    <phoneticPr fontId="1" type="noConversion"/>
  </si>
  <si>
    <t>7R6A</t>
    <phoneticPr fontId="1" type="noConversion"/>
  </si>
  <si>
    <t>120A</t>
    <phoneticPr fontId="1" type="noConversion"/>
  </si>
  <si>
    <t>180A</t>
    <phoneticPr fontId="1" type="noConversion"/>
  </si>
  <si>
    <t>04BX1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</si>
  <si>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</si>
  <si>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</si>
  <si>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</si>
  <si>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I/O모듈</t>
    <phoneticPr fontId="1" type="noConversion"/>
  </si>
  <si>
    <t>3P24/3N24</t>
    <phoneticPr fontId="1" type="noConversion"/>
  </si>
  <si>
    <t>24V DC파트 총합계</t>
    <phoneticPr fontId="1" type="noConversion"/>
  </si>
  <si>
    <t>UPS</t>
    <phoneticPr fontId="1" type="noConversion"/>
  </si>
  <si>
    <t>AC 제품 부하 용량 계산</t>
    <phoneticPr fontId="1" type="noConversion"/>
  </si>
  <si>
    <t>제품</t>
    <phoneticPr fontId="1" type="noConversion"/>
  </si>
  <si>
    <t>SMPS
24V10A</t>
    <phoneticPr fontId="1" type="noConversion"/>
  </si>
  <si>
    <t>220V AC파트 총합계</t>
    <phoneticPr fontId="1" type="noConversion"/>
  </si>
  <si>
    <t>조명CTRL</t>
    <phoneticPr fontId="1" type="noConversion"/>
  </si>
  <si>
    <t>STEP1</t>
    <phoneticPr fontId="1" type="noConversion"/>
  </si>
  <si>
    <t>단위(mA)</t>
    <phoneticPr fontId="1" type="noConversion"/>
  </si>
  <si>
    <t>A5B</t>
    <phoneticPr fontId="1" type="noConversion"/>
  </si>
  <si>
    <t>릴레이, 타워램프, 솔레노이드</t>
    <phoneticPr fontId="1" type="noConversion"/>
  </si>
  <si>
    <t>MADH</t>
    <phoneticPr fontId="1" type="noConversion"/>
  </si>
  <si>
    <t>MBDH</t>
    <phoneticPr fontId="1" type="noConversion"/>
  </si>
  <si>
    <t>MCDH</t>
    <phoneticPr fontId="1" type="noConversion"/>
  </si>
  <si>
    <t>MDDH</t>
    <phoneticPr fontId="1" type="noConversion"/>
  </si>
  <si>
    <t>MEDH</t>
    <phoneticPr fontId="1" type="noConversion"/>
  </si>
  <si>
    <t>R70A</t>
    <phoneticPr fontId="1" type="noConversion"/>
  </si>
  <si>
    <t>모델명</t>
    <phoneticPr fontId="1" type="noConversion"/>
  </si>
  <si>
    <t>상</t>
    <phoneticPr fontId="1" type="noConversion"/>
  </si>
  <si>
    <t>*실제 구동시 구동율이 많은 축끼리 전류분배하여야함. (예: X, Z축이 가장 많이 구동되므로 먼저 분배.)</t>
    <phoneticPr fontId="1" type="noConversion"/>
  </si>
  <si>
    <t>A6B</t>
    <phoneticPr fontId="1" type="noConversion"/>
  </si>
  <si>
    <t>MADL</t>
    <phoneticPr fontId="1" type="noConversion"/>
  </si>
  <si>
    <t>MBDL</t>
    <phoneticPr fontId="1" type="noConversion"/>
  </si>
  <si>
    <t>MCDL</t>
    <phoneticPr fontId="1" type="noConversion"/>
  </si>
  <si>
    <t>MDDL</t>
    <phoneticPr fontId="1" type="noConversion"/>
  </si>
  <si>
    <t>MEDL</t>
    <phoneticPr fontId="1" type="noConversion"/>
  </si>
  <si>
    <t>STEP2</t>
    <phoneticPr fontId="1" type="noConversion"/>
  </si>
  <si>
    <t>STEP3</t>
  </si>
  <si>
    <t>STEP4</t>
  </si>
  <si>
    <t>EZS2-EC-42M</t>
  </si>
  <si>
    <t>모터 상전류(80%) + 컨트롤러 전류 (Max 500mA)</t>
    <phoneticPr fontId="1" type="noConversion"/>
  </si>
  <si>
    <t>서보Brake</t>
    <phoneticPr fontId="1" type="noConversion"/>
  </si>
  <si>
    <t>EZI SPEED</t>
    <phoneticPr fontId="1" type="noConversion"/>
  </si>
  <si>
    <t>드라이브</t>
    <phoneticPr fontId="1" type="noConversion"/>
  </si>
  <si>
    <t>ESD-60</t>
    <phoneticPr fontId="1" type="noConversion"/>
  </si>
  <si>
    <t>ESD-80</t>
    <phoneticPr fontId="1" type="noConversion"/>
  </si>
  <si>
    <t>ESD-120</t>
    <phoneticPr fontId="1" type="noConversion"/>
  </si>
  <si>
    <t>ESD-200</t>
    <phoneticPr fontId="1" type="noConversion"/>
  </si>
  <si>
    <t>MADLN05BE</t>
    <phoneticPr fontId="15" type="noConversion"/>
  </si>
  <si>
    <t>LO_Y1</t>
    <phoneticPr fontId="14" type="noConversion"/>
  </si>
  <si>
    <t>LO_Z1</t>
    <phoneticPr fontId="14" type="noConversion"/>
  </si>
  <si>
    <t>JIG_ULO_Y</t>
    <phoneticPr fontId="14" type="noConversion"/>
  </si>
  <si>
    <t>JIG_ULO_Z</t>
    <phoneticPr fontId="14" type="noConversion"/>
  </si>
  <si>
    <t>LO_R1</t>
    <phoneticPr fontId="14" type="noConversion"/>
  </si>
  <si>
    <t>EZS2-EC-42XL</t>
    <phoneticPr fontId="14" type="noConversion"/>
  </si>
  <si>
    <t>STEP6</t>
  </si>
  <si>
    <t>EZS2-EC-42M</t>
    <phoneticPr fontId="14" type="noConversion"/>
  </si>
  <si>
    <t>호밍</t>
    <phoneticPr fontId="1" type="noConversion"/>
  </si>
  <si>
    <t>PRO ECO 480W 24V 20A</t>
    <phoneticPr fontId="1" type="noConversion"/>
  </si>
  <si>
    <t>MADLN15BE</t>
  </si>
  <si>
    <t>MBDLN25BE</t>
    <phoneticPr fontId="14" type="noConversion"/>
  </si>
  <si>
    <t>TURN_GRIPPER_X1</t>
    <phoneticPr fontId="14" type="noConversion"/>
  </si>
  <si>
    <t>ULO_R2</t>
    <phoneticPr fontId="14" type="noConversion"/>
  </si>
  <si>
    <t>TURN_R1</t>
    <phoneticPr fontId="14" type="noConversion"/>
  </si>
  <si>
    <t>TURN_R2</t>
    <phoneticPr fontId="14" type="noConversion"/>
  </si>
  <si>
    <t>TURN_GRIPPER_R1</t>
    <phoneticPr fontId="14" type="noConversion"/>
  </si>
  <si>
    <t>TURN_GRIPPER_R2</t>
    <phoneticPr fontId="14" type="noConversion"/>
  </si>
  <si>
    <t>STEP5</t>
  </si>
  <si>
    <t>STEP9</t>
  </si>
  <si>
    <t>STEP10</t>
  </si>
  <si>
    <t>STEP11</t>
  </si>
  <si>
    <t>STEP12</t>
  </si>
  <si>
    <t>BX950MI-GR</t>
    <phoneticPr fontId="1" type="noConversion"/>
  </si>
  <si>
    <t>BX1600MI-GR</t>
    <phoneticPr fontId="1" type="noConversion"/>
  </si>
  <si>
    <t>POD-22024-4-PEI-LKCB</t>
    <phoneticPr fontId="1" type="noConversion"/>
  </si>
  <si>
    <t>도어</t>
    <phoneticPr fontId="1" type="noConversion"/>
  </si>
  <si>
    <t>1P</t>
    <phoneticPr fontId="1" type="noConversion"/>
  </si>
  <si>
    <t>2P</t>
    <phoneticPr fontId="1" type="noConversion"/>
  </si>
  <si>
    <t>3P</t>
    <phoneticPr fontId="1" type="noConversion"/>
  </si>
  <si>
    <t>P1</t>
    <phoneticPr fontId="1" type="noConversion"/>
  </si>
  <si>
    <t>P2</t>
    <phoneticPr fontId="1" type="noConversion"/>
  </si>
  <si>
    <t>대구텍 검사기 F2</t>
    <phoneticPr fontId="1" type="noConversion"/>
  </si>
  <si>
    <t>모델명</t>
  </si>
  <si>
    <t>정격(W)</t>
  </si>
  <si>
    <t>피상(VA)</t>
  </si>
  <si>
    <r>
      <rPr>
        <b/>
        <sz val="11"/>
        <color rgb="FF1F1F1F"/>
        <rFont val="맑은 고딕"/>
        <family val="3"/>
        <charset val="129"/>
      </rPr>
      <t>축</t>
    </r>
    <r>
      <rPr>
        <b/>
        <sz val="11"/>
        <color rgb="FF1F1F1F"/>
        <rFont val="Arial"/>
        <family val="2"/>
      </rPr>
      <t>/</t>
    </r>
    <r>
      <rPr>
        <b/>
        <sz val="11"/>
        <color rgb="FF1F1F1F"/>
        <rFont val="맑은 고딕"/>
        <family val="3"/>
        <charset val="129"/>
      </rPr>
      <t>부하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명칭</t>
    </r>
    <phoneticPr fontId="1" type="noConversion"/>
  </si>
  <si>
    <t>LO_X1</t>
    <phoneticPr fontId="15" type="noConversion"/>
  </si>
  <si>
    <t>ULO_Y1</t>
    <phoneticPr fontId="15" type="noConversion"/>
  </si>
  <si>
    <t>ULO_X1</t>
    <phoneticPr fontId="15" type="noConversion"/>
  </si>
  <si>
    <t>ULO_Z1</t>
    <phoneticPr fontId="15" type="noConversion"/>
  </si>
  <si>
    <t>NG_EV</t>
    <phoneticPr fontId="15" type="noConversion"/>
  </si>
  <si>
    <t>NG_FD</t>
    <phoneticPr fontId="15" type="noConversion"/>
  </si>
  <si>
    <t>NG_FD_Z</t>
    <phoneticPr fontId="15" type="noConversion"/>
  </si>
  <si>
    <t>NG_FD_ALIGN</t>
    <phoneticPr fontId="15" type="noConversion"/>
  </si>
  <si>
    <t>NG_FD_INDEX</t>
    <phoneticPr fontId="15" type="noConversion"/>
  </si>
  <si>
    <t>GOOD_EV</t>
    <phoneticPr fontId="15" type="noConversion"/>
  </si>
  <si>
    <t>GOOD_FD</t>
    <phoneticPr fontId="15" type="noConversion"/>
  </si>
  <si>
    <t>GOOD_FD_Z</t>
    <phoneticPr fontId="15" type="noConversion"/>
  </si>
  <si>
    <t>GOOD_FD_ALIGN</t>
    <phoneticPr fontId="15" type="noConversion"/>
  </si>
  <si>
    <t>GOOD_FD_INDEX</t>
    <phoneticPr fontId="15" type="noConversion"/>
  </si>
  <si>
    <t>TURN_Y</t>
    <phoneticPr fontId="15" type="noConversion"/>
  </si>
  <si>
    <t>TURN_GRIPPER_Y1</t>
    <phoneticPr fontId="15" type="noConversion"/>
  </si>
  <si>
    <t>TURN_GRIPPER_X1</t>
    <phoneticPr fontId="15" type="noConversion"/>
  </si>
  <si>
    <t>TURN_GRIPPER_Z1</t>
    <phoneticPr fontId="15" type="noConversion"/>
  </si>
  <si>
    <t>TURN_GRIPPER_Y2</t>
    <phoneticPr fontId="15" type="noConversion"/>
  </si>
  <si>
    <t>TURN_GRIPPER_Z1</t>
    <phoneticPr fontId="14" type="noConversion"/>
  </si>
  <si>
    <t>BOT_MAC_Y</t>
    <phoneticPr fontId="14" type="noConversion"/>
  </si>
  <si>
    <t>BOT_MAC_X</t>
    <phoneticPr fontId="14" type="noConversion"/>
  </si>
  <si>
    <t>BOT_MAC_Z</t>
    <phoneticPr fontId="14" type="noConversion"/>
  </si>
  <si>
    <t>BOT_MIC_Y</t>
    <phoneticPr fontId="14" type="noConversion"/>
  </si>
  <si>
    <t>BOT_MIC_X</t>
    <phoneticPr fontId="14" type="noConversion"/>
  </si>
  <si>
    <t>BOT_MIC_Z</t>
    <phoneticPr fontId="14" type="noConversion"/>
  </si>
  <si>
    <t>MDDLN55BL</t>
    <phoneticPr fontId="15" type="noConversion"/>
  </si>
  <si>
    <t>MCDLN35BL</t>
    <phoneticPr fontId="15" type="noConversion"/>
  </si>
  <si>
    <t>MCDLN35BE</t>
    <phoneticPr fontId="14" type="noConversion"/>
  </si>
  <si>
    <t>MADLN05BE</t>
    <phoneticPr fontId="14" type="noConversion"/>
  </si>
  <si>
    <t>MADLN15BE</t>
    <phoneticPr fontId="15" type="noConversion"/>
  </si>
  <si>
    <t>LO_ATC_X</t>
    <phoneticPr fontId="15" type="noConversion"/>
  </si>
  <si>
    <t>LO_ATC_Z</t>
    <phoneticPr fontId="15" type="noConversion"/>
  </si>
  <si>
    <t>SIDE_X1</t>
    <phoneticPr fontId="15" type="noConversion"/>
  </si>
  <si>
    <t>SIDE_Y1</t>
    <phoneticPr fontId="15" type="noConversion"/>
  </si>
  <si>
    <t>SIDE_T1</t>
    <phoneticPr fontId="15" type="noConversion"/>
  </si>
  <si>
    <t>SIDE_X2</t>
    <phoneticPr fontId="15" type="noConversion"/>
  </si>
  <si>
    <t>SIDE_Y2</t>
    <phoneticPr fontId="15" type="noConversion"/>
  </si>
  <si>
    <t>SIDE_T2</t>
    <phoneticPr fontId="15" type="noConversion"/>
  </si>
  <si>
    <t>SIDE_X3</t>
    <phoneticPr fontId="15" type="noConversion"/>
  </si>
  <si>
    <t>SIDE_Y3</t>
    <phoneticPr fontId="15" type="noConversion"/>
  </si>
  <si>
    <t>SIDE_T3</t>
    <phoneticPr fontId="15" type="noConversion"/>
  </si>
  <si>
    <t>LO_EV</t>
    <phoneticPr fontId="15" type="noConversion"/>
  </si>
  <si>
    <t>LO_FD</t>
    <phoneticPr fontId="15" type="noConversion"/>
  </si>
  <si>
    <t>LO_FD_Z</t>
    <phoneticPr fontId="15" type="noConversion"/>
  </si>
  <si>
    <t>LO_FD_ALIGN</t>
    <phoneticPr fontId="15" type="noConversion"/>
  </si>
  <si>
    <t>LO_FD_INDEX</t>
    <phoneticPr fontId="15" type="noConversion"/>
  </si>
  <si>
    <t>TOP_MAC_Y</t>
    <phoneticPr fontId="15" type="noConversion"/>
  </si>
  <si>
    <t>TOP_MAC_X</t>
    <phoneticPr fontId="14" type="noConversion"/>
  </si>
  <si>
    <t>TOP_MAC_Z</t>
    <phoneticPr fontId="14" type="noConversion"/>
  </si>
  <si>
    <t>TOP_MIC_Y</t>
    <phoneticPr fontId="15" type="noConversion"/>
  </si>
  <si>
    <t>TOP_MIC_X</t>
    <phoneticPr fontId="15" type="noConversion"/>
  </si>
  <si>
    <t>TOP_MIC_Z</t>
    <phoneticPr fontId="15" type="noConversion"/>
  </si>
  <si>
    <t>INSPEC_CONV1</t>
    <phoneticPr fontId="15" type="noConversion"/>
  </si>
  <si>
    <t>INSPEC_CONV2</t>
    <phoneticPr fontId="15" type="noConversion"/>
  </si>
  <si>
    <t>JIG_PLATE_CONV1</t>
    <phoneticPr fontId="15" type="noConversion"/>
  </si>
  <si>
    <t>JIG_PLATE_CONV2</t>
    <phoneticPr fontId="15" type="noConversion"/>
  </si>
  <si>
    <t>LO_JIG_TRANSFER_Y</t>
    <phoneticPr fontId="15" type="noConversion"/>
  </si>
  <si>
    <t>LO_JIG_TRANSFER_Z</t>
    <phoneticPr fontId="15" type="noConversion"/>
  </si>
  <si>
    <t>TURN_PLATE</t>
    <phoneticPr fontId="14" type="noConversion"/>
  </si>
  <si>
    <t>INSEPC_Y</t>
    <phoneticPr fontId="15" type="noConversion"/>
  </si>
  <si>
    <t>INSPEC_X</t>
    <phoneticPr fontId="15" type="noConversion"/>
  </si>
  <si>
    <t>INSPEC_Z1</t>
    <phoneticPr fontId="15" type="noConversion"/>
  </si>
  <si>
    <t>INSPEC_Z2</t>
    <phoneticPr fontId="15" type="noConversion"/>
  </si>
  <si>
    <t>설계전류</t>
    <phoneticPr fontId="1" type="noConversion"/>
  </si>
  <si>
    <t>역률 (PF)</t>
    <phoneticPr fontId="1" type="noConversion"/>
  </si>
  <si>
    <t>정격전류 (A)</t>
    <phoneticPr fontId="1" type="noConversion"/>
  </si>
  <si>
    <r>
      <rPr>
        <b/>
        <sz val="11"/>
        <color rgb="FF1F1F1F"/>
        <rFont val="맑은 고딕"/>
        <family val="3"/>
        <charset val="129"/>
      </rPr>
      <t>수용률</t>
    </r>
    <r>
      <rPr>
        <b/>
        <sz val="11"/>
        <color rgb="FF1F1F1F"/>
        <rFont val="Arial"/>
        <family val="2"/>
      </rPr>
      <t xml:space="preserve"> </t>
    </r>
    <phoneticPr fontId="1" type="noConversion"/>
  </si>
  <si>
    <t xml:space="preserve"> 차단기선정</t>
    <phoneticPr fontId="1" type="noConversion"/>
  </si>
  <si>
    <t>차단기선정과정</t>
    <phoneticPr fontId="1" type="noConversion"/>
  </si>
  <si>
    <t>10A MCB (C-curve) 차단기</t>
    <phoneticPr fontId="1" type="noConversion"/>
  </si>
  <si>
    <t>파스텍 IO단자대</t>
    <phoneticPr fontId="1" type="noConversion"/>
  </si>
  <si>
    <t>INSPEC_R1</t>
    <phoneticPr fontId="14" type="noConversion"/>
  </si>
  <si>
    <t>INSPEC_R2</t>
    <phoneticPr fontId="14" type="noConversion"/>
  </si>
  <si>
    <t>EZS2-EC-42M</t>
    <phoneticPr fontId="1" type="noConversion"/>
  </si>
  <si>
    <t>LO_EV_TOP</t>
    <phoneticPr fontId="1" type="noConversion"/>
  </si>
  <si>
    <t>LO_EV_BOT</t>
    <phoneticPr fontId="1" type="noConversion"/>
  </si>
  <si>
    <t>GOOD_EV_TOP</t>
    <phoneticPr fontId="1" type="noConversion"/>
  </si>
  <si>
    <t>GOOD_EV_BOT</t>
    <phoneticPr fontId="1" type="noConversion"/>
  </si>
  <si>
    <t>NG_EV_TOP</t>
    <phoneticPr fontId="1" type="noConversion"/>
  </si>
  <si>
    <t>NG_EV_BOT</t>
    <phoneticPr fontId="1" type="noConversion"/>
  </si>
  <si>
    <t>EZI-SPEED60H30CR100P</t>
  </si>
  <si>
    <t>3P\</t>
    <phoneticPr fontId="1" type="noConversion"/>
  </si>
  <si>
    <t xml:space="preserve">각각 </t>
    <phoneticPr fontId="1" type="noConversion"/>
  </si>
  <si>
    <t>EZI-SPEED60H30CR100P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</si>
</sst>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_ "/>
    <numFmt numFmtId="177" formatCode="_-* #,##0.0_-;\-* #,##0.0_-;_-* &quot;-&quot;?_-;_-@_-"/>
    <numFmt numFmtId="178" formatCode="0.0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Helv"/>
      <family val="2"/>
    </font>
    <font>
      <sz val="11"/>
      <name val="ＭＳ Ｐゴシック"/>
      <family val="2"/>
    </font>
    <font>
      <sz val="11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2"/>
      <charset val="129"/>
    </font>
    <font>
      <b/>
      <sz val="11"/>
      <color rgb="FF1F1F1F"/>
      <name val="Arial"/>
      <family val="2"/>
    </font>
    <font>
      <b/>
      <sz val="11"/>
      <color rgb="FF1F1F1F"/>
      <name val="Arial"/>
      <family val="3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맑은 고딕"/>
      <family val="2"/>
      <charset val="129"/>
    </font>
    <font>
      <sz val="11"/>
      <name val="Dotum"/>
      <family val="3"/>
      <charset val="129"/>
    </font>
    <font>
      <sz val="11"/>
      <color rgb="FF000000"/>
      <name val="Dotum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66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/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41" fontId="8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/>
    <xf numFmtId="42" fontId="5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1" fillId="0" borderId="0"/>
    <xf numFmtId="42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</cellStyleXfs>
  <cellXfs count="1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41" fontId="0" fillId="0" borderId="4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1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1" xfId="1" applyNumberFormat="1" applyFont="1" applyBorder="1" applyAlignment="1">
      <alignment horizontal="center" vertical="center"/>
    </xf>
    <xf numFmtId="178" fontId="0" fillId="0" borderId="1" xfId="1" applyNumberFormat="1" applyFont="1" applyBorder="1" applyAlignment="1">
      <alignment horizontal="center" vertical="center"/>
    </xf>
    <xf numFmtId="178" fontId="0" fillId="0" borderId="3" xfId="1" applyNumberFormat="1" applyFont="1" applyBorder="1" applyAlignment="1">
      <alignment horizontal="center" vertical="center"/>
    </xf>
    <xf numFmtId="178" fontId="0" fillId="0" borderId="2" xfId="1" applyNumberFormat="1" applyFont="1" applyBorder="1" applyAlignment="1">
      <alignment horizontal="center" vertical="center"/>
    </xf>
    <xf numFmtId="178" fontId="0" fillId="0" borderId="1" xfId="1" applyNumberFormat="1" applyFont="1" applyBorder="1">
      <alignment vertical="center"/>
    </xf>
    <xf numFmtId="41" fontId="0" fillId="0" borderId="0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3" borderId="12" xfId="7" applyFill="1" applyBorder="1" applyAlignment="1">
      <alignment horizontal="left" vertical="center"/>
    </xf>
    <xf numFmtId="0" fontId="8" fillId="3" borderId="4" xfId="7" applyFill="1" applyBorder="1" applyAlignment="1">
      <alignment horizontal="left" vertical="center"/>
    </xf>
    <xf numFmtId="0" fontId="8" fillId="3" borderId="14" xfId="7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41" fontId="0" fillId="0" borderId="16" xfId="1" applyFont="1" applyBorder="1" applyAlignment="1">
      <alignment horizontal="center" vertical="center"/>
    </xf>
    <xf numFmtId="0" fontId="8" fillId="3" borderId="13" xfId="7" applyFill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8" fillId="3" borderId="1" xfId="7" applyFill="1" applyBorder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0" fontId="16" fillId="3" borderId="4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left" vertical="center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 readingOrder="1"/>
    </xf>
    <xf numFmtId="0" fontId="19" fillId="0" borderId="19" xfId="0" applyFont="1" applyBorder="1" applyAlignment="1">
      <alignment horizontal="center" vertical="center" wrapText="1" readingOrder="1"/>
    </xf>
    <xf numFmtId="0" fontId="18" fillId="0" borderId="18" xfId="0" applyFont="1" applyBorder="1" applyAlignment="1">
      <alignment horizontal="center" vertical="center" wrapText="1" readingOrder="1"/>
    </xf>
    <xf numFmtId="0" fontId="18" fillId="0" borderId="19" xfId="0" applyFont="1" applyBorder="1" applyAlignment="1">
      <alignment horizontal="center" vertical="center" wrapText="1" readingOrder="1"/>
    </xf>
    <xf numFmtId="0" fontId="16" fillId="4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6" fillId="4" borderId="1" xfId="0" applyFont="1" applyFill="1" applyBorder="1">
      <alignment vertical="center"/>
    </xf>
    <xf numFmtId="0" fontId="22" fillId="3" borderId="1" xfId="2663" applyFont="1" applyFill="1" applyBorder="1" applyAlignment="1">
      <alignment horizontal="left" vertical="center"/>
    </xf>
    <xf numFmtId="0" fontId="16" fillId="3" borderId="1" xfId="2663" applyFont="1" applyFill="1" applyBorder="1" applyAlignment="1">
      <alignment horizontal="left" vertical="center"/>
    </xf>
    <xf numFmtId="0" fontId="16" fillId="5" borderId="1" xfId="0" applyFont="1" applyFill="1" applyBorder="1">
      <alignment vertical="center"/>
    </xf>
    <xf numFmtId="0" fontId="16" fillId="5" borderId="1" xfId="2663" applyFont="1" applyFill="1" applyBorder="1" applyAlignment="1">
      <alignment horizontal="left" vertical="center"/>
    </xf>
    <xf numFmtId="0" fontId="13" fillId="0" borderId="1" xfId="2663" applyFont="1" applyBorder="1" applyAlignment="1">
      <alignment horizontal="left" vertical="center"/>
    </xf>
    <xf numFmtId="0" fontId="13" fillId="0" borderId="14" xfId="2663" applyFont="1" applyBorder="1" applyAlignment="1">
      <alignment horizontal="left" vertical="center"/>
    </xf>
    <xf numFmtId="0" fontId="16" fillId="6" borderId="1" xfId="2663" applyFont="1" applyFill="1" applyBorder="1" applyAlignment="1">
      <alignment horizontal="left" vertical="center"/>
    </xf>
    <xf numFmtId="0" fontId="16" fillId="6" borderId="1" xfId="0" applyFont="1" applyFill="1" applyBorder="1">
      <alignment vertical="center"/>
    </xf>
    <xf numFmtId="0" fontId="23" fillId="0" borderId="1" xfId="2663" applyFont="1" applyBorder="1" applyAlignment="1">
      <alignment horizontal="left" vertical="center"/>
    </xf>
    <xf numFmtId="0" fontId="16" fillId="3" borderId="14" xfId="0" applyFont="1" applyFill="1" applyBorder="1" applyAlignment="1">
      <alignment horizontal="left" vertical="center"/>
    </xf>
    <xf numFmtId="0" fontId="0" fillId="0" borderId="5" xfId="1" applyNumberFormat="1" applyFont="1" applyBorder="1" applyAlignment="1">
      <alignment horizontal="center" vertical="center"/>
    </xf>
    <xf numFmtId="178" fontId="0" fillId="0" borderId="5" xfId="1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1" applyNumberFormat="1" applyFont="1" applyBorder="1" applyAlignment="1">
      <alignment horizontal="center" vertical="center"/>
    </xf>
    <xf numFmtId="178" fontId="0" fillId="0" borderId="14" xfId="1" applyNumberFormat="1" applyFont="1" applyBorder="1" applyAlignment="1">
      <alignment horizontal="center" vertical="center"/>
    </xf>
    <xf numFmtId="0" fontId="16" fillId="7" borderId="1" xfId="2663" applyFont="1" applyFill="1" applyBorder="1" applyAlignment="1">
      <alignment horizontal="left" vertical="center"/>
    </xf>
    <xf numFmtId="0" fontId="16" fillId="7" borderId="1" xfId="0" applyFont="1" applyFill="1" applyBorder="1">
      <alignment vertical="center"/>
    </xf>
    <xf numFmtId="0" fontId="16" fillId="3" borderId="1" xfId="0" applyFont="1" applyFill="1" applyBorder="1">
      <alignment vertical="center"/>
    </xf>
    <xf numFmtId="2" fontId="0" fillId="0" borderId="1" xfId="1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 readingOrder="1"/>
    </xf>
    <xf numFmtId="0" fontId="21" fillId="0" borderId="19" xfId="0" applyFont="1" applyBorder="1" applyAlignment="1">
      <alignment horizontal="center" vertical="center" wrapText="1" readingOrder="1"/>
    </xf>
    <xf numFmtId="2" fontId="0" fillId="0" borderId="5" xfId="1" applyNumberFormat="1" applyFont="1" applyBorder="1" applyAlignment="1">
      <alignment horizontal="center" vertical="center"/>
    </xf>
    <xf numFmtId="2" fontId="0" fillId="0" borderId="14" xfId="1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 readingOrder="1"/>
    </xf>
    <xf numFmtId="0" fontId="0" fillId="0" borderId="13" xfId="0" applyFill="1" applyBorder="1" applyAlignment="1">
      <alignment horizontal="center" vertical="center"/>
    </xf>
    <xf numFmtId="43" fontId="0" fillId="0" borderId="0" xfId="0" applyNumberFormat="1">
      <alignment vertical="center"/>
    </xf>
    <xf numFmtId="0" fontId="16" fillId="3" borderId="20" xfId="0" applyFont="1" applyFill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1" fontId="0" fillId="0" borderId="20" xfId="1" applyNumberFormat="1" applyFont="1" applyBorder="1" applyAlignment="1">
      <alignment horizontal="center" vertical="center"/>
    </xf>
    <xf numFmtId="0" fontId="0" fillId="0" borderId="20" xfId="1" applyNumberFormat="1" applyFont="1" applyBorder="1" applyAlignment="1">
      <alignment horizontal="center" vertical="center"/>
    </xf>
    <xf numFmtId="2" fontId="0" fillId="0" borderId="20" xfId="1" applyNumberFormat="1" applyFont="1" applyBorder="1" applyAlignment="1">
      <alignment horizontal="center" vertical="center"/>
    </xf>
    <xf numFmtId="178" fontId="0" fillId="0" borderId="20" xfId="1" applyNumberFormat="1" applyFont="1" applyBorder="1" applyAlignment="1">
      <alignment horizontal="center" vertical="center"/>
    </xf>
  </cellXfs>
  <cellStyles count="2664">
    <cellStyle name="설명 텍스트 3" xfId="2663" xr:uid="{60C1BC73-E77F-434E-906E-ABDCFBC5E409}"/>
    <cellStyle name="쉼표 [0]" xfId="1" builtinId="6"/>
    <cellStyle name="쉼표 [0] 2" xfId="2" xr:uid="{00000000-0005-0000-0000-000001000000}"/>
    <cellStyle name="쉼표 [0] 2 2" xfId="141" xr:uid="{00000000-0005-0000-0000-000002000000}"/>
    <cellStyle name="쉼표 [0] 2 2 2" xfId="2520" xr:uid="{00000000-0005-0000-0000-000003000000}"/>
    <cellStyle name="쉼표 [0] 2 2 3" xfId="2521" xr:uid="{00000000-0005-0000-0000-000004000000}"/>
    <cellStyle name="쉼표 [0] 2 3" xfId="125" xr:uid="{00000000-0005-0000-0000-000005000000}"/>
    <cellStyle name="쉼표 [0] 2 3 2" xfId="2522" xr:uid="{00000000-0005-0000-0000-000006000000}"/>
    <cellStyle name="쉼표 [0] 2 3 3" xfId="2523" xr:uid="{00000000-0005-0000-0000-000007000000}"/>
    <cellStyle name="쉼표 [0] 2 4" xfId="144" xr:uid="{00000000-0005-0000-0000-000008000000}"/>
    <cellStyle name="쉼표 [0] 2 4 2" xfId="2524" xr:uid="{00000000-0005-0000-0000-000009000000}"/>
    <cellStyle name="쉼표 [0] 2 4 3" xfId="2525" xr:uid="{00000000-0005-0000-0000-00000A000000}"/>
    <cellStyle name="쉼표 [0] 2 5" xfId="145" xr:uid="{00000000-0005-0000-0000-00000B000000}"/>
    <cellStyle name="쉼표 [0] 2 5 2" xfId="2526" xr:uid="{00000000-0005-0000-0000-00000C000000}"/>
    <cellStyle name="쉼표 [0] 2 5 3" xfId="2527" xr:uid="{00000000-0005-0000-0000-00000D000000}"/>
    <cellStyle name="쉼표 [0] 2 6" xfId="2528" xr:uid="{00000000-0005-0000-0000-00000E000000}"/>
    <cellStyle name="쉼표 [0] 2 7" xfId="2529" xr:uid="{00000000-0005-0000-0000-00000F000000}"/>
    <cellStyle name="쉼표 [0] 3" xfId="131" xr:uid="{00000000-0005-0000-0000-000010000000}"/>
    <cellStyle name="쉼표 [0] 4" xfId="2530" xr:uid="{00000000-0005-0000-0000-000011000000}"/>
    <cellStyle name="쉼표 [0] 4 2" xfId="2531" xr:uid="{00000000-0005-0000-0000-000012000000}"/>
    <cellStyle name="쉼표 [0] 5" xfId="2519" xr:uid="{00000000-0005-0000-0000-000013000000}"/>
    <cellStyle name="스타일 1" xfId="146" xr:uid="{00000000-0005-0000-0000-000014000000}"/>
    <cellStyle name="통화 [0] 2" xfId="134" xr:uid="{00000000-0005-0000-0000-000015000000}"/>
    <cellStyle name="통화 [0] 2 2" xfId="147" xr:uid="{00000000-0005-0000-0000-000016000000}"/>
    <cellStyle name="통화 [0] 2 2 2" xfId="2532" xr:uid="{00000000-0005-0000-0000-000017000000}"/>
    <cellStyle name="통화 [0] 2 2 3" xfId="2533" xr:uid="{00000000-0005-0000-0000-000018000000}"/>
    <cellStyle name="통화 [0] 2 3" xfId="148" xr:uid="{00000000-0005-0000-0000-000019000000}"/>
    <cellStyle name="통화 [0] 2 3 2" xfId="2534" xr:uid="{00000000-0005-0000-0000-00001A000000}"/>
    <cellStyle name="통화 [0] 2 3 3" xfId="2535" xr:uid="{00000000-0005-0000-0000-00001B000000}"/>
    <cellStyle name="통화 [0] 2 4" xfId="154" xr:uid="{00000000-0005-0000-0000-00001C000000}"/>
    <cellStyle name="통화 [0] 2 4 2" xfId="2536" xr:uid="{00000000-0005-0000-0000-00001D000000}"/>
    <cellStyle name="통화 [0] 2 5" xfId="2537" xr:uid="{00000000-0005-0000-0000-00001E000000}"/>
    <cellStyle name="통화 [0] 3" xfId="142" xr:uid="{00000000-0005-0000-0000-00001F000000}"/>
    <cellStyle name="통화 [0] 3 2" xfId="158" xr:uid="{00000000-0005-0000-0000-000020000000}"/>
    <cellStyle name="통화 [0] 4" xfId="2538" xr:uid="{00000000-0005-0000-0000-000021000000}"/>
    <cellStyle name="통화 [0] 4 2" xfId="2539" xr:uid="{00000000-0005-0000-0000-000022000000}"/>
    <cellStyle name="표준" xfId="0" builtinId="0"/>
    <cellStyle name="표준 10" xfId="3" xr:uid="{00000000-0005-0000-0000-000024000000}"/>
    <cellStyle name="표준 10 2" xfId="156" xr:uid="{00000000-0005-0000-0000-000025000000}"/>
    <cellStyle name="표준 10 2 2" xfId="1175" xr:uid="{00000000-0005-0000-0000-000026000000}"/>
    <cellStyle name="표준 10 2 2 2" xfId="2517" xr:uid="{00000000-0005-0000-0000-000027000000}"/>
    <cellStyle name="표준 10 2 3" xfId="643" xr:uid="{00000000-0005-0000-0000-000028000000}"/>
    <cellStyle name="표준 10 3" xfId="159" xr:uid="{00000000-0005-0000-0000-000029000000}"/>
    <cellStyle name="표준 10 3 2" xfId="1062" xr:uid="{00000000-0005-0000-0000-00002A000000}"/>
    <cellStyle name="표준 10 3 3" xfId="2540" xr:uid="{00000000-0005-0000-0000-00002B000000}"/>
    <cellStyle name="표준 10 4" xfId="530" xr:uid="{00000000-0005-0000-0000-00002C000000}"/>
    <cellStyle name="표준 10 4 2" xfId="2541" xr:uid="{00000000-0005-0000-0000-00002D000000}"/>
    <cellStyle name="표준 10 5" xfId="120" xr:uid="{00000000-0005-0000-0000-00002E000000}"/>
    <cellStyle name="표준 11" xfId="117" xr:uid="{00000000-0005-0000-0000-00002F000000}"/>
    <cellStyle name="표준 11 2" xfId="190" xr:uid="{00000000-0005-0000-0000-000030000000}"/>
    <cellStyle name="표준 11 3" xfId="160" xr:uid="{00000000-0005-0000-0000-000031000000}"/>
    <cellStyle name="표준 12" xfId="2542" xr:uid="{00000000-0005-0000-0000-000032000000}"/>
    <cellStyle name="표준 12 2" xfId="2543" xr:uid="{00000000-0005-0000-0000-000033000000}"/>
    <cellStyle name="표준 13" xfId="2544" xr:uid="{00000000-0005-0000-0000-000034000000}"/>
    <cellStyle name="표준 14" xfId="2518" xr:uid="{00000000-0005-0000-0000-000035000000}"/>
    <cellStyle name="표준 155" xfId="196" xr:uid="{00000000-0005-0000-0000-000036000000}"/>
    <cellStyle name="표준 2" xfId="4" xr:uid="{00000000-0005-0000-0000-000037000000}"/>
    <cellStyle name="표준 2 10" xfId="62" xr:uid="{00000000-0005-0000-0000-000038000000}"/>
    <cellStyle name="표준 2 10 2" xfId="349" xr:uid="{00000000-0005-0000-0000-000039000000}"/>
    <cellStyle name="표준 2 10 2 2" xfId="881" xr:uid="{00000000-0005-0000-0000-00003A000000}"/>
    <cellStyle name="표준 2 10 2 2 2" xfId="2223" xr:uid="{00000000-0005-0000-0000-00003B000000}"/>
    <cellStyle name="표준 2 10 2 3" xfId="1120" xr:uid="{00000000-0005-0000-0000-00003C000000}"/>
    <cellStyle name="표준 2 10 2 3 2" xfId="2462" xr:uid="{00000000-0005-0000-0000-00003D000000}"/>
    <cellStyle name="표준 2 10 2 4" xfId="588" xr:uid="{00000000-0005-0000-0000-00003E000000}"/>
    <cellStyle name="표준 2 10 2 5" xfId="1414" xr:uid="{00000000-0005-0000-0000-00003F000000}"/>
    <cellStyle name="표준 2 10 2 6" xfId="1722" xr:uid="{00000000-0005-0000-0000-000040000000}"/>
    <cellStyle name="표준 2 10 2 7" xfId="2004" xr:uid="{00000000-0005-0000-0000-000041000000}"/>
    <cellStyle name="표준 2 10 3" xfId="727" xr:uid="{00000000-0005-0000-0000-000042000000}"/>
    <cellStyle name="표준 2 10 3 2" xfId="2128" xr:uid="{00000000-0005-0000-0000-000043000000}"/>
    <cellStyle name="표준 2 10 4" xfId="1007" xr:uid="{00000000-0005-0000-0000-000044000000}"/>
    <cellStyle name="표준 2 10 4 2" xfId="2350" xr:uid="{00000000-0005-0000-0000-000045000000}"/>
    <cellStyle name="표준 2 10 5" xfId="475" xr:uid="{00000000-0005-0000-0000-000046000000}"/>
    <cellStyle name="표준 2 10 6" xfId="1259" xr:uid="{00000000-0005-0000-0000-000047000000}"/>
    <cellStyle name="표준 2 10 7" xfId="1567" xr:uid="{00000000-0005-0000-0000-000048000000}"/>
    <cellStyle name="표준 2 10 8" xfId="1872" xr:uid="{00000000-0005-0000-0000-000049000000}"/>
    <cellStyle name="표준 2 10 9" xfId="2545" xr:uid="{00000000-0005-0000-0000-00004A000000}"/>
    <cellStyle name="표준 2 11" xfId="77" xr:uid="{00000000-0005-0000-0000-00004B000000}"/>
    <cellStyle name="표준 2 11 2" xfId="364" xr:uid="{00000000-0005-0000-0000-00004C000000}"/>
    <cellStyle name="표준 2 11 2 2" xfId="896" xr:uid="{00000000-0005-0000-0000-00004D000000}"/>
    <cellStyle name="표준 2 11 2 2 2" xfId="2238" xr:uid="{00000000-0005-0000-0000-00004E000000}"/>
    <cellStyle name="표준 2 11 2 3" xfId="1135" xr:uid="{00000000-0005-0000-0000-00004F000000}"/>
    <cellStyle name="표준 2 11 2 3 2" xfId="2477" xr:uid="{00000000-0005-0000-0000-000050000000}"/>
    <cellStyle name="표준 2 11 2 4" xfId="603" xr:uid="{00000000-0005-0000-0000-000051000000}"/>
    <cellStyle name="표준 2 11 2 5" xfId="1429" xr:uid="{00000000-0005-0000-0000-000052000000}"/>
    <cellStyle name="표준 2 11 2 6" xfId="1737" xr:uid="{00000000-0005-0000-0000-000053000000}"/>
    <cellStyle name="표준 2 11 2 7" xfId="2018" xr:uid="{00000000-0005-0000-0000-000054000000}"/>
    <cellStyle name="표준 2 11 3" xfId="686" xr:uid="{00000000-0005-0000-0000-000055000000}"/>
    <cellStyle name="표준 2 11 3 2" xfId="2113" xr:uid="{00000000-0005-0000-0000-000056000000}"/>
    <cellStyle name="표준 2 11 4" xfId="1022" xr:uid="{00000000-0005-0000-0000-000057000000}"/>
    <cellStyle name="표준 2 11 4 2" xfId="2365" xr:uid="{00000000-0005-0000-0000-000058000000}"/>
    <cellStyle name="표준 2 11 5" xfId="490" xr:uid="{00000000-0005-0000-0000-000059000000}"/>
    <cellStyle name="표준 2 11 6" xfId="1218" xr:uid="{00000000-0005-0000-0000-00005A000000}"/>
    <cellStyle name="표준 2 11 7" xfId="1526" xr:uid="{00000000-0005-0000-0000-00005B000000}"/>
    <cellStyle name="표준 2 11 8" xfId="1833" xr:uid="{00000000-0005-0000-0000-00005C000000}"/>
    <cellStyle name="표준 2 11 9" xfId="2546" xr:uid="{00000000-0005-0000-0000-00005D000000}"/>
    <cellStyle name="표준 2 12" xfId="403" xr:uid="{00000000-0005-0000-0000-00005E000000}"/>
    <cellStyle name="표준 2 12 2" xfId="935" xr:uid="{00000000-0005-0000-0000-00005F000000}"/>
    <cellStyle name="표준 2 12 2 2" xfId="2278" xr:uid="{00000000-0005-0000-0000-000060000000}"/>
    <cellStyle name="표준 2 12 3" xfId="1063" xr:uid="{00000000-0005-0000-0000-000061000000}"/>
    <cellStyle name="표준 2 12 3 2" xfId="2405" xr:uid="{00000000-0005-0000-0000-000062000000}"/>
    <cellStyle name="표준 2 12 4" xfId="531" xr:uid="{00000000-0005-0000-0000-000063000000}"/>
    <cellStyle name="표준 2 12 5" xfId="1469" xr:uid="{00000000-0005-0000-0000-000064000000}"/>
    <cellStyle name="표준 2 12 6" xfId="1777" xr:uid="{00000000-0005-0000-0000-000065000000}"/>
    <cellStyle name="표준 2 12 7" xfId="2056" xr:uid="{00000000-0005-0000-0000-000066000000}"/>
    <cellStyle name="표준 2 12 8" xfId="2547" xr:uid="{00000000-0005-0000-0000-000067000000}"/>
    <cellStyle name="표준 2 13" xfId="292" xr:uid="{00000000-0005-0000-0000-000068000000}"/>
    <cellStyle name="표준 2 13 2" xfId="824" xr:uid="{00000000-0005-0000-0000-000069000000}"/>
    <cellStyle name="표준 2 13 3" xfId="1357" xr:uid="{00000000-0005-0000-0000-00006A000000}"/>
    <cellStyle name="표준 2 13 4" xfId="1665" xr:uid="{00000000-0005-0000-0000-00006B000000}"/>
    <cellStyle name="표준 2 13 5" xfId="1949" xr:uid="{00000000-0005-0000-0000-00006C000000}"/>
    <cellStyle name="표준 2 13 6" xfId="2548" xr:uid="{00000000-0005-0000-0000-00006D000000}"/>
    <cellStyle name="표준 2 14" xfId="277" xr:uid="{00000000-0005-0000-0000-00006E000000}"/>
    <cellStyle name="표준 2 14 2" xfId="809" xr:uid="{00000000-0005-0000-0000-00006F000000}"/>
    <cellStyle name="표준 2 14 3" xfId="1342" xr:uid="{00000000-0005-0000-0000-000070000000}"/>
    <cellStyle name="표준 2 14 4" xfId="1650" xr:uid="{00000000-0005-0000-0000-000071000000}"/>
    <cellStyle name="표준 2 14 5" xfId="1934" xr:uid="{00000000-0005-0000-0000-000072000000}"/>
    <cellStyle name="표준 2 15" xfId="644" xr:uid="{00000000-0005-0000-0000-000073000000}"/>
    <cellStyle name="표준 2 15 2" xfId="2071" xr:uid="{00000000-0005-0000-0000-000074000000}"/>
    <cellStyle name="표준 2 16" xfId="950" xr:uid="{00000000-0005-0000-0000-000075000000}"/>
    <cellStyle name="표준 2 16 2" xfId="2293" xr:uid="{00000000-0005-0000-0000-000076000000}"/>
    <cellStyle name="표준 2 17" xfId="418" xr:uid="{00000000-0005-0000-0000-000077000000}"/>
    <cellStyle name="표준 2 18" xfId="1176" xr:uid="{00000000-0005-0000-0000-000078000000}"/>
    <cellStyle name="표준 2 19" xfId="1484" xr:uid="{00000000-0005-0000-0000-000079000000}"/>
    <cellStyle name="표준 2 2" xfId="5" xr:uid="{00000000-0005-0000-0000-00007A000000}"/>
    <cellStyle name="표준 2 2 10" xfId="404" xr:uid="{00000000-0005-0000-0000-00007B000000}"/>
    <cellStyle name="표준 2 2 10 2" xfId="936" xr:uid="{00000000-0005-0000-0000-00007C000000}"/>
    <cellStyle name="표준 2 2 10 2 2" xfId="2279" xr:uid="{00000000-0005-0000-0000-00007D000000}"/>
    <cellStyle name="표준 2 2 10 3" xfId="1064" xr:uid="{00000000-0005-0000-0000-00007E000000}"/>
    <cellStyle name="표준 2 2 10 3 2" xfId="2406" xr:uid="{00000000-0005-0000-0000-00007F000000}"/>
    <cellStyle name="표준 2 2 10 4" xfId="532" xr:uid="{00000000-0005-0000-0000-000080000000}"/>
    <cellStyle name="표준 2 2 10 5" xfId="1470" xr:uid="{00000000-0005-0000-0000-000081000000}"/>
    <cellStyle name="표준 2 2 10 6" xfId="1778" xr:uid="{00000000-0005-0000-0000-000082000000}"/>
    <cellStyle name="표준 2 2 10 7" xfId="2057" xr:uid="{00000000-0005-0000-0000-000083000000}"/>
    <cellStyle name="표준 2 2 10 8" xfId="2549" xr:uid="{00000000-0005-0000-0000-000084000000}"/>
    <cellStyle name="표준 2 2 11" xfId="293" xr:uid="{00000000-0005-0000-0000-000085000000}"/>
    <cellStyle name="표준 2 2 11 2" xfId="825" xr:uid="{00000000-0005-0000-0000-000086000000}"/>
    <cellStyle name="표준 2 2 11 3" xfId="1358" xr:uid="{00000000-0005-0000-0000-000087000000}"/>
    <cellStyle name="표준 2 2 11 4" xfId="1666" xr:uid="{00000000-0005-0000-0000-000088000000}"/>
    <cellStyle name="표준 2 2 11 5" xfId="1950" xr:uid="{00000000-0005-0000-0000-000089000000}"/>
    <cellStyle name="표준 2 2 12" xfId="278" xr:uid="{00000000-0005-0000-0000-00008A000000}"/>
    <cellStyle name="표준 2 2 12 2" xfId="810" xr:uid="{00000000-0005-0000-0000-00008B000000}"/>
    <cellStyle name="표준 2 2 12 3" xfId="1343" xr:uid="{00000000-0005-0000-0000-00008C000000}"/>
    <cellStyle name="표준 2 2 12 4" xfId="1651" xr:uid="{00000000-0005-0000-0000-00008D000000}"/>
    <cellStyle name="표준 2 2 12 5" xfId="1935" xr:uid="{00000000-0005-0000-0000-00008E000000}"/>
    <cellStyle name="표준 2 2 13" xfId="645" xr:uid="{00000000-0005-0000-0000-00008F000000}"/>
    <cellStyle name="표준 2 2 13 2" xfId="2072" xr:uid="{00000000-0005-0000-0000-000090000000}"/>
    <cellStyle name="표준 2 2 14" xfId="951" xr:uid="{00000000-0005-0000-0000-000091000000}"/>
    <cellStyle name="표준 2 2 14 2" xfId="2294" xr:uid="{00000000-0005-0000-0000-000092000000}"/>
    <cellStyle name="표준 2 2 15" xfId="419" xr:uid="{00000000-0005-0000-0000-000093000000}"/>
    <cellStyle name="표준 2 2 16" xfId="1177" xr:uid="{00000000-0005-0000-0000-000094000000}"/>
    <cellStyle name="표준 2 2 17" xfId="1485" xr:uid="{00000000-0005-0000-0000-000095000000}"/>
    <cellStyle name="표준 2 2 18" xfId="1793" xr:uid="{00000000-0005-0000-0000-000096000000}"/>
    <cellStyle name="표준 2 2 19" xfId="130" xr:uid="{00000000-0005-0000-0000-000097000000}"/>
    <cellStyle name="표준 2 2 2" xfId="13" xr:uid="{00000000-0005-0000-0000-000098000000}"/>
    <cellStyle name="표준 2 2 2 10" xfId="652" xr:uid="{00000000-0005-0000-0000-000099000000}"/>
    <cellStyle name="표준 2 2 2 10 2" xfId="2079" xr:uid="{00000000-0005-0000-0000-00009A000000}"/>
    <cellStyle name="표준 2 2 2 11" xfId="958" xr:uid="{00000000-0005-0000-0000-00009B000000}"/>
    <cellStyle name="표준 2 2 2 11 2" xfId="2301" xr:uid="{00000000-0005-0000-0000-00009C000000}"/>
    <cellStyle name="표준 2 2 2 12" xfId="426" xr:uid="{00000000-0005-0000-0000-00009D000000}"/>
    <cellStyle name="표준 2 2 2 13" xfId="1184" xr:uid="{00000000-0005-0000-0000-00009E000000}"/>
    <cellStyle name="표준 2 2 2 14" xfId="1492" xr:uid="{00000000-0005-0000-0000-00009F000000}"/>
    <cellStyle name="표준 2 2 2 15" xfId="1800" xr:uid="{00000000-0005-0000-0000-0000A0000000}"/>
    <cellStyle name="표준 2 2 2 16" xfId="129" xr:uid="{00000000-0005-0000-0000-0000A1000000}"/>
    <cellStyle name="표준 2 2 2 2" xfId="37" xr:uid="{00000000-0005-0000-0000-0000A2000000}"/>
    <cellStyle name="표준 2 2 2 2 10" xfId="1516" xr:uid="{00000000-0005-0000-0000-0000A3000000}"/>
    <cellStyle name="표준 2 2 2 2 11" xfId="1824" xr:uid="{00000000-0005-0000-0000-0000A4000000}"/>
    <cellStyle name="표준 2 2 2 2 2" xfId="112" xr:uid="{00000000-0005-0000-0000-0000A5000000}"/>
    <cellStyle name="표준 2 2 2 2 2 2" xfId="399" xr:uid="{00000000-0005-0000-0000-0000A6000000}"/>
    <cellStyle name="표준 2 2 2 2 2 2 2" xfId="931" xr:uid="{00000000-0005-0000-0000-0000A7000000}"/>
    <cellStyle name="표준 2 2 2 2 2 2 2 2" xfId="2273" xr:uid="{00000000-0005-0000-0000-0000A8000000}"/>
    <cellStyle name="표준 2 2 2 2 2 2 3" xfId="1170" xr:uid="{00000000-0005-0000-0000-0000A9000000}"/>
    <cellStyle name="표준 2 2 2 2 2 2 3 2" xfId="2512" xr:uid="{00000000-0005-0000-0000-0000AA000000}"/>
    <cellStyle name="표준 2 2 2 2 2 2 4" xfId="638" xr:uid="{00000000-0005-0000-0000-0000AB000000}"/>
    <cellStyle name="표준 2 2 2 2 2 2 5" xfId="1464" xr:uid="{00000000-0005-0000-0000-0000AC000000}"/>
    <cellStyle name="표준 2 2 2 2 2 2 6" xfId="1772" xr:uid="{00000000-0005-0000-0000-0000AD000000}"/>
    <cellStyle name="표준 2 2 2 2 2 2 7" xfId="2052" xr:uid="{00000000-0005-0000-0000-0000AE000000}"/>
    <cellStyle name="표준 2 2 2 2 2 3" xfId="800" xr:uid="{00000000-0005-0000-0000-0000AF000000}"/>
    <cellStyle name="표준 2 2 2 2 2 3 2" xfId="2199" xr:uid="{00000000-0005-0000-0000-0000B0000000}"/>
    <cellStyle name="표준 2 2 2 2 2 4" xfId="1057" xr:uid="{00000000-0005-0000-0000-0000B1000000}"/>
    <cellStyle name="표준 2 2 2 2 2 4 2" xfId="2400" xr:uid="{00000000-0005-0000-0000-0000B2000000}"/>
    <cellStyle name="표준 2 2 2 2 2 5" xfId="525" xr:uid="{00000000-0005-0000-0000-0000B3000000}"/>
    <cellStyle name="표준 2 2 2 2 2 6" xfId="1332" xr:uid="{00000000-0005-0000-0000-0000B4000000}"/>
    <cellStyle name="표준 2 2 2 2 2 7" xfId="1640" xr:uid="{00000000-0005-0000-0000-0000B5000000}"/>
    <cellStyle name="표준 2 2 2 2 2 8" xfId="270" xr:uid="{00000000-0005-0000-0000-0000B6000000}"/>
    <cellStyle name="표준 2 2 2 2 2 9" xfId="161" xr:uid="{00000000-0005-0000-0000-0000B7000000}"/>
    <cellStyle name="표준 2 2 2 2 3" xfId="251" xr:uid="{00000000-0005-0000-0000-0000B8000000}"/>
    <cellStyle name="표준 2 2 2 2 3 2" xfId="759" xr:uid="{00000000-0005-0000-0000-0000B9000000}"/>
    <cellStyle name="표준 2 2 2 2 3 2 2" xfId="2159" xr:uid="{00000000-0005-0000-0000-0000BA000000}"/>
    <cellStyle name="표준 2 2 2 2 3 3" xfId="1095" xr:uid="{00000000-0005-0000-0000-0000BB000000}"/>
    <cellStyle name="표준 2 2 2 2 3 3 2" xfId="2437" xr:uid="{00000000-0005-0000-0000-0000BC000000}"/>
    <cellStyle name="표준 2 2 2 2 3 4" xfId="563" xr:uid="{00000000-0005-0000-0000-0000BD000000}"/>
    <cellStyle name="표준 2 2 2 2 3 5" xfId="1291" xr:uid="{00000000-0005-0000-0000-0000BE000000}"/>
    <cellStyle name="표준 2 2 2 2 3 6" xfId="1599" xr:uid="{00000000-0005-0000-0000-0000BF000000}"/>
    <cellStyle name="표준 2 2 2 2 3 7" xfId="1903" xr:uid="{00000000-0005-0000-0000-0000C0000000}"/>
    <cellStyle name="표준 2 2 2 2 3 8" xfId="2550" xr:uid="{00000000-0005-0000-0000-0000C1000000}"/>
    <cellStyle name="표준 2 2 2 2 4" xfId="226" xr:uid="{00000000-0005-0000-0000-0000C2000000}"/>
    <cellStyle name="표준 2 2 2 2 4 2" xfId="718" xr:uid="{00000000-0005-0000-0000-0000C3000000}"/>
    <cellStyle name="표준 2 2 2 2 4 3" xfId="1250" xr:uid="{00000000-0005-0000-0000-0000C4000000}"/>
    <cellStyle name="표준 2 2 2 2 4 4" xfId="1558" xr:uid="{00000000-0005-0000-0000-0000C5000000}"/>
    <cellStyle name="표준 2 2 2 2 4 5" xfId="1863" xr:uid="{00000000-0005-0000-0000-0000C6000000}"/>
    <cellStyle name="표준 2 2 2 2 5" xfId="324" xr:uid="{00000000-0005-0000-0000-0000C7000000}"/>
    <cellStyle name="표준 2 2 2 2 5 2" xfId="856" xr:uid="{00000000-0005-0000-0000-0000C8000000}"/>
    <cellStyle name="표준 2 2 2 2 5 3" xfId="1389" xr:uid="{00000000-0005-0000-0000-0000C9000000}"/>
    <cellStyle name="표준 2 2 2 2 5 4" xfId="1697" xr:uid="{00000000-0005-0000-0000-0000CA000000}"/>
    <cellStyle name="표준 2 2 2 2 5 5" xfId="1981" xr:uid="{00000000-0005-0000-0000-0000CB000000}"/>
    <cellStyle name="표준 2 2 2 2 6" xfId="676" xr:uid="{00000000-0005-0000-0000-0000CC000000}"/>
    <cellStyle name="표준 2 2 2 2 6 2" xfId="2103" xr:uid="{00000000-0005-0000-0000-0000CD000000}"/>
    <cellStyle name="표준 2 2 2 2 7" xfId="982" xr:uid="{00000000-0005-0000-0000-0000CE000000}"/>
    <cellStyle name="표준 2 2 2 2 7 2" xfId="2325" xr:uid="{00000000-0005-0000-0000-0000CF000000}"/>
    <cellStyle name="표준 2 2 2 2 8" xfId="450" xr:uid="{00000000-0005-0000-0000-0000D0000000}"/>
    <cellStyle name="표준 2 2 2 2 9" xfId="1208" xr:uid="{00000000-0005-0000-0000-0000D1000000}"/>
    <cellStyle name="표준 2 2 2 3" xfId="25" xr:uid="{00000000-0005-0000-0000-0000D2000000}"/>
    <cellStyle name="표준 2 2 2 3 10" xfId="1504" xr:uid="{00000000-0005-0000-0000-0000D3000000}"/>
    <cellStyle name="표준 2 2 2 3 11" xfId="1812" xr:uid="{00000000-0005-0000-0000-0000D4000000}"/>
    <cellStyle name="표준 2 2 2 3 12" xfId="2551" xr:uid="{00000000-0005-0000-0000-0000D5000000}"/>
    <cellStyle name="표준 2 2 2 3 2" xfId="100" xr:uid="{00000000-0005-0000-0000-0000D6000000}"/>
    <cellStyle name="표준 2 2 2 3 2 2" xfId="387" xr:uid="{00000000-0005-0000-0000-0000D7000000}"/>
    <cellStyle name="표준 2 2 2 3 2 2 2" xfId="919" xr:uid="{00000000-0005-0000-0000-0000D8000000}"/>
    <cellStyle name="표준 2 2 2 3 2 2 2 2" xfId="2261" xr:uid="{00000000-0005-0000-0000-0000D9000000}"/>
    <cellStyle name="표준 2 2 2 3 2 2 3" xfId="1158" xr:uid="{00000000-0005-0000-0000-0000DA000000}"/>
    <cellStyle name="표준 2 2 2 3 2 2 3 2" xfId="2500" xr:uid="{00000000-0005-0000-0000-0000DB000000}"/>
    <cellStyle name="표준 2 2 2 3 2 2 4" xfId="626" xr:uid="{00000000-0005-0000-0000-0000DC000000}"/>
    <cellStyle name="표준 2 2 2 3 2 2 5" xfId="1452" xr:uid="{00000000-0005-0000-0000-0000DD000000}"/>
    <cellStyle name="표준 2 2 2 3 2 2 6" xfId="1760" xr:uid="{00000000-0005-0000-0000-0000DE000000}"/>
    <cellStyle name="표준 2 2 2 3 2 2 7" xfId="2040" xr:uid="{00000000-0005-0000-0000-0000DF000000}"/>
    <cellStyle name="표준 2 2 2 3 2 3" xfId="788" xr:uid="{00000000-0005-0000-0000-0000E0000000}"/>
    <cellStyle name="표준 2 2 2 3 2 3 2" xfId="2187" xr:uid="{00000000-0005-0000-0000-0000E1000000}"/>
    <cellStyle name="표준 2 2 2 3 2 4" xfId="1045" xr:uid="{00000000-0005-0000-0000-0000E2000000}"/>
    <cellStyle name="표준 2 2 2 3 2 4 2" xfId="2388" xr:uid="{00000000-0005-0000-0000-0000E3000000}"/>
    <cellStyle name="표준 2 2 2 3 2 5" xfId="513" xr:uid="{00000000-0005-0000-0000-0000E4000000}"/>
    <cellStyle name="표준 2 2 2 3 2 6" xfId="1320" xr:uid="{00000000-0005-0000-0000-0000E5000000}"/>
    <cellStyle name="표준 2 2 2 3 2 7" xfId="1628" xr:uid="{00000000-0005-0000-0000-0000E6000000}"/>
    <cellStyle name="표준 2 2 2 3 2 8" xfId="1928" xr:uid="{00000000-0005-0000-0000-0000E7000000}"/>
    <cellStyle name="표준 2 2 2 3 2 9" xfId="2552" xr:uid="{00000000-0005-0000-0000-0000E8000000}"/>
    <cellStyle name="표준 2 2 2 3 3" xfId="240" xr:uid="{00000000-0005-0000-0000-0000E9000000}"/>
    <cellStyle name="표준 2 2 2 3 3 2" xfId="747" xr:uid="{00000000-0005-0000-0000-0000EA000000}"/>
    <cellStyle name="표준 2 2 2 3 3 2 2" xfId="2148" xr:uid="{00000000-0005-0000-0000-0000EB000000}"/>
    <cellStyle name="표준 2 2 2 3 3 3" xfId="1083" xr:uid="{00000000-0005-0000-0000-0000EC000000}"/>
    <cellStyle name="표준 2 2 2 3 3 3 2" xfId="2425" xr:uid="{00000000-0005-0000-0000-0000ED000000}"/>
    <cellStyle name="표준 2 2 2 3 3 4" xfId="551" xr:uid="{00000000-0005-0000-0000-0000EE000000}"/>
    <cellStyle name="표준 2 2 2 3 3 5" xfId="1279" xr:uid="{00000000-0005-0000-0000-0000EF000000}"/>
    <cellStyle name="표준 2 2 2 3 3 6" xfId="1587" xr:uid="{00000000-0005-0000-0000-0000F0000000}"/>
    <cellStyle name="표준 2 2 2 3 3 7" xfId="1891" xr:uid="{00000000-0005-0000-0000-0000F1000000}"/>
    <cellStyle name="표준 2 2 2 3 3 8" xfId="2553" xr:uid="{00000000-0005-0000-0000-0000F2000000}"/>
    <cellStyle name="표준 2 2 2 3 4" xfId="214" xr:uid="{00000000-0005-0000-0000-0000F3000000}"/>
    <cellStyle name="표준 2 2 2 3 4 2" xfId="706" xr:uid="{00000000-0005-0000-0000-0000F4000000}"/>
    <cellStyle name="표준 2 2 2 3 4 3" xfId="1238" xr:uid="{00000000-0005-0000-0000-0000F5000000}"/>
    <cellStyle name="표준 2 2 2 3 4 4" xfId="1546" xr:uid="{00000000-0005-0000-0000-0000F6000000}"/>
    <cellStyle name="표준 2 2 2 3 4 5" xfId="1852" xr:uid="{00000000-0005-0000-0000-0000F7000000}"/>
    <cellStyle name="표준 2 2 2 3 5" xfId="312" xr:uid="{00000000-0005-0000-0000-0000F8000000}"/>
    <cellStyle name="표준 2 2 2 3 5 2" xfId="844" xr:uid="{00000000-0005-0000-0000-0000F9000000}"/>
    <cellStyle name="표준 2 2 2 3 5 3" xfId="1377" xr:uid="{00000000-0005-0000-0000-0000FA000000}"/>
    <cellStyle name="표준 2 2 2 3 5 4" xfId="1685" xr:uid="{00000000-0005-0000-0000-0000FB000000}"/>
    <cellStyle name="표준 2 2 2 3 5 5" xfId="1969" xr:uid="{00000000-0005-0000-0000-0000FC000000}"/>
    <cellStyle name="표준 2 2 2 3 6" xfId="664" xr:uid="{00000000-0005-0000-0000-0000FD000000}"/>
    <cellStyle name="표준 2 2 2 3 6 2" xfId="2091" xr:uid="{00000000-0005-0000-0000-0000FE000000}"/>
    <cellStyle name="표준 2 2 2 3 7" xfId="970" xr:uid="{00000000-0005-0000-0000-0000FF000000}"/>
    <cellStyle name="표준 2 2 2 3 7 2" xfId="2313" xr:uid="{00000000-0005-0000-0000-000000010000}"/>
    <cellStyle name="표준 2 2 2 3 8" xfId="438" xr:uid="{00000000-0005-0000-0000-000001010000}"/>
    <cellStyle name="표준 2 2 2 3 9" xfId="1196" xr:uid="{00000000-0005-0000-0000-000002010000}"/>
    <cellStyle name="표준 2 2 2 4" xfId="55" xr:uid="{00000000-0005-0000-0000-000003010000}"/>
    <cellStyle name="표준 2 2 2 4 2" xfId="342" xr:uid="{00000000-0005-0000-0000-000004010000}"/>
    <cellStyle name="표준 2 2 2 4 2 2" xfId="874" xr:uid="{00000000-0005-0000-0000-000005010000}"/>
    <cellStyle name="표준 2 2 2 4 2 2 2" xfId="2216" xr:uid="{00000000-0005-0000-0000-000006010000}"/>
    <cellStyle name="표준 2 2 2 4 2 3" xfId="1113" xr:uid="{00000000-0005-0000-0000-000007010000}"/>
    <cellStyle name="표준 2 2 2 4 2 3 2" xfId="2455" xr:uid="{00000000-0005-0000-0000-000008010000}"/>
    <cellStyle name="표준 2 2 2 4 2 4" xfId="581" xr:uid="{00000000-0005-0000-0000-000009010000}"/>
    <cellStyle name="표준 2 2 2 4 2 5" xfId="1407" xr:uid="{00000000-0005-0000-0000-00000A010000}"/>
    <cellStyle name="표준 2 2 2 4 2 6" xfId="1715" xr:uid="{00000000-0005-0000-0000-00000B010000}"/>
    <cellStyle name="표준 2 2 2 4 2 7" xfId="1997" xr:uid="{00000000-0005-0000-0000-00000C010000}"/>
    <cellStyle name="표준 2 2 2 4 2 8" xfId="2555" xr:uid="{00000000-0005-0000-0000-00000D010000}"/>
    <cellStyle name="표준 2 2 2 4 3" xfId="776" xr:uid="{00000000-0005-0000-0000-00000E010000}"/>
    <cellStyle name="표준 2 2 2 4 3 2" xfId="2175" xr:uid="{00000000-0005-0000-0000-00000F010000}"/>
    <cellStyle name="표준 2 2 2 4 4" xfId="1000" xr:uid="{00000000-0005-0000-0000-000010010000}"/>
    <cellStyle name="표준 2 2 2 4 4 2" xfId="2343" xr:uid="{00000000-0005-0000-0000-000011010000}"/>
    <cellStyle name="표준 2 2 2 4 5" xfId="468" xr:uid="{00000000-0005-0000-0000-000012010000}"/>
    <cellStyle name="표준 2 2 2 4 6" xfId="1308" xr:uid="{00000000-0005-0000-0000-000013010000}"/>
    <cellStyle name="표준 2 2 2 4 7" xfId="1616" xr:uid="{00000000-0005-0000-0000-000014010000}"/>
    <cellStyle name="표준 2 2 2 4 8" xfId="1916" xr:uid="{00000000-0005-0000-0000-000015010000}"/>
    <cellStyle name="표준 2 2 2 4 9" xfId="2554" xr:uid="{00000000-0005-0000-0000-000016010000}"/>
    <cellStyle name="표준 2 2 2 5" xfId="70" xr:uid="{00000000-0005-0000-0000-000017010000}"/>
    <cellStyle name="표준 2 2 2 5 2" xfId="357" xr:uid="{00000000-0005-0000-0000-000018010000}"/>
    <cellStyle name="표준 2 2 2 5 2 2" xfId="889" xr:uid="{00000000-0005-0000-0000-000019010000}"/>
    <cellStyle name="표준 2 2 2 5 2 2 2" xfId="2231" xr:uid="{00000000-0005-0000-0000-00001A010000}"/>
    <cellStyle name="표준 2 2 2 5 2 3" xfId="1128" xr:uid="{00000000-0005-0000-0000-00001B010000}"/>
    <cellStyle name="표준 2 2 2 5 2 3 2" xfId="2470" xr:uid="{00000000-0005-0000-0000-00001C010000}"/>
    <cellStyle name="표준 2 2 2 5 2 4" xfId="596" xr:uid="{00000000-0005-0000-0000-00001D010000}"/>
    <cellStyle name="표준 2 2 2 5 2 5" xfId="1422" xr:uid="{00000000-0005-0000-0000-00001E010000}"/>
    <cellStyle name="표준 2 2 2 5 2 6" xfId="1730" xr:uid="{00000000-0005-0000-0000-00001F010000}"/>
    <cellStyle name="표준 2 2 2 5 2 7" xfId="2011" xr:uid="{00000000-0005-0000-0000-000020010000}"/>
    <cellStyle name="표준 2 2 2 5 3" xfId="735" xr:uid="{00000000-0005-0000-0000-000021010000}"/>
    <cellStyle name="표준 2 2 2 5 3 2" xfId="2136" xr:uid="{00000000-0005-0000-0000-000022010000}"/>
    <cellStyle name="표준 2 2 2 5 4" xfId="1015" xr:uid="{00000000-0005-0000-0000-000023010000}"/>
    <cellStyle name="표준 2 2 2 5 4 2" xfId="2358" xr:uid="{00000000-0005-0000-0000-000024010000}"/>
    <cellStyle name="표준 2 2 2 5 5" xfId="483" xr:uid="{00000000-0005-0000-0000-000025010000}"/>
    <cellStyle name="표준 2 2 2 5 6" xfId="1267" xr:uid="{00000000-0005-0000-0000-000026010000}"/>
    <cellStyle name="표준 2 2 2 5 7" xfId="1575" xr:uid="{00000000-0005-0000-0000-000027010000}"/>
    <cellStyle name="표준 2 2 2 5 8" xfId="1880" xr:uid="{00000000-0005-0000-0000-000028010000}"/>
    <cellStyle name="표준 2 2 2 5 9" xfId="2556" xr:uid="{00000000-0005-0000-0000-000029010000}"/>
    <cellStyle name="표준 2 2 2 6" xfId="85" xr:uid="{00000000-0005-0000-0000-00002A010000}"/>
    <cellStyle name="표준 2 2 2 6 2" xfId="372" xr:uid="{00000000-0005-0000-0000-00002B010000}"/>
    <cellStyle name="표준 2 2 2 6 2 2" xfId="904" xr:uid="{00000000-0005-0000-0000-00002C010000}"/>
    <cellStyle name="표준 2 2 2 6 2 2 2" xfId="2246" xr:uid="{00000000-0005-0000-0000-00002D010000}"/>
    <cellStyle name="표준 2 2 2 6 2 3" xfId="1143" xr:uid="{00000000-0005-0000-0000-00002E010000}"/>
    <cellStyle name="표준 2 2 2 6 2 3 2" xfId="2485" xr:uid="{00000000-0005-0000-0000-00002F010000}"/>
    <cellStyle name="표준 2 2 2 6 2 4" xfId="611" xr:uid="{00000000-0005-0000-0000-000030010000}"/>
    <cellStyle name="표준 2 2 2 6 2 5" xfId="1437" xr:uid="{00000000-0005-0000-0000-000031010000}"/>
    <cellStyle name="표준 2 2 2 6 2 6" xfId="1745" xr:uid="{00000000-0005-0000-0000-000032010000}"/>
    <cellStyle name="표준 2 2 2 6 2 7" xfId="2026" xr:uid="{00000000-0005-0000-0000-000033010000}"/>
    <cellStyle name="표준 2 2 2 6 3" xfId="694" xr:uid="{00000000-0005-0000-0000-000034010000}"/>
    <cellStyle name="표준 2 2 2 6 3 2" xfId="2121" xr:uid="{00000000-0005-0000-0000-000035010000}"/>
    <cellStyle name="표준 2 2 2 6 4" xfId="1030" xr:uid="{00000000-0005-0000-0000-000036010000}"/>
    <cellStyle name="표준 2 2 2 6 4 2" xfId="2373" xr:uid="{00000000-0005-0000-0000-000037010000}"/>
    <cellStyle name="표준 2 2 2 6 5" xfId="498" xr:uid="{00000000-0005-0000-0000-000038010000}"/>
    <cellStyle name="표준 2 2 2 6 6" xfId="1226" xr:uid="{00000000-0005-0000-0000-000039010000}"/>
    <cellStyle name="표준 2 2 2 6 7" xfId="1534" xr:uid="{00000000-0005-0000-0000-00003A010000}"/>
    <cellStyle name="표준 2 2 2 6 8" xfId="1840" xr:uid="{00000000-0005-0000-0000-00003B010000}"/>
    <cellStyle name="표준 2 2 2 6 9" xfId="2557" xr:uid="{00000000-0005-0000-0000-00003C010000}"/>
    <cellStyle name="표준 2 2 2 7" xfId="411" xr:uid="{00000000-0005-0000-0000-00003D010000}"/>
    <cellStyle name="표준 2 2 2 7 2" xfId="943" xr:uid="{00000000-0005-0000-0000-00003E010000}"/>
    <cellStyle name="표준 2 2 2 7 2 2" xfId="2286" xr:uid="{00000000-0005-0000-0000-00003F010000}"/>
    <cellStyle name="표준 2 2 2 7 3" xfId="1071" xr:uid="{00000000-0005-0000-0000-000040010000}"/>
    <cellStyle name="표준 2 2 2 7 3 2" xfId="2413" xr:uid="{00000000-0005-0000-0000-000041010000}"/>
    <cellStyle name="표준 2 2 2 7 4" xfId="539" xr:uid="{00000000-0005-0000-0000-000042010000}"/>
    <cellStyle name="표준 2 2 2 7 5" xfId="1477" xr:uid="{00000000-0005-0000-0000-000043010000}"/>
    <cellStyle name="표준 2 2 2 7 6" xfId="1785" xr:uid="{00000000-0005-0000-0000-000044010000}"/>
    <cellStyle name="표준 2 2 2 7 7" xfId="2064" xr:uid="{00000000-0005-0000-0000-000045010000}"/>
    <cellStyle name="표준 2 2 2 7 8" xfId="2558" xr:uid="{00000000-0005-0000-0000-000046010000}"/>
    <cellStyle name="표준 2 2 2 8" xfId="300" xr:uid="{00000000-0005-0000-0000-000047010000}"/>
    <cellStyle name="표준 2 2 2 8 2" xfId="832" xr:uid="{00000000-0005-0000-0000-000048010000}"/>
    <cellStyle name="표준 2 2 2 8 3" xfId="1365" xr:uid="{00000000-0005-0000-0000-000049010000}"/>
    <cellStyle name="표준 2 2 2 8 4" xfId="1673" xr:uid="{00000000-0005-0000-0000-00004A010000}"/>
    <cellStyle name="표준 2 2 2 8 5" xfId="1957" xr:uid="{00000000-0005-0000-0000-00004B010000}"/>
    <cellStyle name="표준 2 2 2 9" xfId="285" xr:uid="{00000000-0005-0000-0000-00004C010000}"/>
    <cellStyle name="표준 2 2 2 9 2" xfId="817" xr:uid="{00000000-0005-0000-0000-00004D010000}"/>
    <cellStyle name="표준 2 2 2 9 3" xfId="1350" xr:uid="{00000000-0005-0000-0000-00004E010000}"/>
    <cellStyle name="표준 2 2 2 9 4" xfId="1658" xr:uid="{00000000-0005-0000-0000-00004F010000}"/>
    <cellStyle name="표준 2 2 2 9 5" xfId="1942" xr:uid="{00000000-0005-0000-0000-000050010000}"/>
    <cellStyle name="표준 2 2 3" xfId="11" xr:uid="{00000000-0005-0000-0000-000051010000}"/>
    <cellStyle name="표준 2 2 3 10" xfId="650" xr:uid="{00000000-0005-0000-0000-000052010000}"/>
    <cellStyle name="표준 2 2 3 10 2" xfId="2077" xr:uid="{00000000-0005-0000-0000-000053010000}"/>
    <cellStyle name="표준 2 2 3 11" xfId="956" xr:uid="{00000000-0005-0000-0000-000054010000}"/>
    <cellStyle name="표준 2 2 3 11 2" xfId="2299" xr:uid="{00000000-0005-0000-0000-000055010000}"/>
    <cellStyle name="표준 2 2 3 12" xfId="424" xr:uid="{00000000-0005-0000-0000-000056010000}"/>
    <cellStyle name="표준 2 2 3 13" xfId="1182" xr:uid="{00000000-0005-0000-0000-000057010000}"/>
    <cellStyle name="표준 2 2 3 14" xfId="1490" xr:uid="{00000000-0005-0000-0000-000058010000}"/>
    <cellStyle name="표준 2 2 3 15" xfId="1798" xr:uid="{00000000-0005-0000-0000-000059010000}"/>
    <cellStyle name="표준 2 2 3 16" xfId="128" xr:uid="{00000000-0005-0000-0000-00005A010000}"/>
    <cellStyle name="표준 2 2 3 2" xfId="35" xr:uid="{00000000-0005-0000-0000-00005B010000}"/>
    <cellStyle name="표준 2 2 3 2 10" xfId="1514" xr:uid="{00000000-0005-0000-0000-00005C010000}"/>
    <cellStyle name="표준 2 2 3 2 11" xfId="1822" xr:uid="{00000000-0005-0000-0000-00005D010000}"/>
    <cellStyle name="표준 2 2 3 2 2" xfId="110" xr:uid="{00000000-0005-0000-0000-00005E010000}"/>
    <cellStyle name="표준 2 2 3 2 2 2" xfId="397" xr:uid="{00000000-0005-0000-0000-00005F010000}"/>
    <cellStyle name="표준 2 2 3 2 2 2 2" xfId="929" xr:uid="{00000000-0005-0000-0000-000060010000}"/>
    <cellStyle name="표준 2 2 3 2 2 2 2 2" xfId="2271" xr:uid="{00000000-0005-0000-0000-000061010000}"/>
    <cellStyle name="표준 2 2 3 2 2 2 3" xfId="1168" xr:uid="{00000000-0005-0000-0000-000062010000}"/>
    <cellStyle name="표준 2 2 3 2 2 2 3 2" xfId="2510" xr:uid="{00000000-0005-0000-0000-000063010000}"/>
    <cellStyle name="표준 2 2 3 2 2 2 4" xfId="636" xr:uid="{00000000-0005-0000-0000-000064010000}"/>
    <cellStyle name="표준 2 2 3 2 2 2 5" xfId="1462" xr:uid="{00000000-0005-0000-0000-000065010000}"/>
    <cellStyle name="표준 2 2 3 2 2 2 6" xfId="1770" xr:uid="{00000000-0005-0000-0000-000066010000}"/>
    <cellStyle name="표준 2 2 3 2 2 2 7" xfId="2050" xr:uid="{00000000-0005-0000-0000-000067010000}"/>
    <cellStyle name="표준 2 2 3 2 2 3" xfId="798" xr:uid="{00000000-0005-0000-0000-000068010000}"/>
    <cellStyle name="표준 2 2 3 2 2 3 2" xfId="2197" xr:uid="{00000000-0005-0000-0000-000069010000}"/>
    <cellStyle name="표준 2 2 3 2 2 4" xfId="1055" xr:uid="{00000000-0005-0000-0000-00006A010000}"/>
    <cellStyle name="표준 2 2 3 2 2 4 2" xfId="2398" xr:uid="{00000000-0005-0000-0000-00006B010000}"/>
    <cellStyle name="표준 2 2 3 2 2 5" xfId="523" xr:uid="{00000000-0005-0000-0000-00006C010000}"/>
    <cellStyle name="표준 2 2 3 2 2 6" xfId="1330" xr:uid="{00000000-0005-0000-0000-00006D010000}"/>
    <cellStyle name="표준 2 2 3 2 2 7" xfId="1638" xr:uid="{00000000-0005-0000-0000-00006E010000}"/>
    <cellStyle name="표준 2 2 3 2 2 8" xfId="268" xr:uid="{00000000-0005-0000-0000-00006F010000}"/>
    <cellStyle name="표준 2 2 3 2 2 9" xfId="162" xr:uid="{00000000-0005-0000-0000-000070010000}"/>
    <cellStyle name="표준 2 2 3 2 3" xfId="249" xr:uid="{00000000-0005-0000-0000-000071010000}"/>
    <cellStyle name="표준 2 2 3 2 3 2" xfId="757" xr:uid="{00000000-0005-0000-0000-000072010000}"/>
    <cellStyle name="표준 2 2 3 2 3 2 2" xfId="2157" xr:uid="{00000000-0005-0000-0000-000073010000}"/>
    <cellStyle name="표준 2 2 3 2 3 3" xfId="1093" xr:uid="{00000000-0005-0000-0000-000074010000}"/>
    <cellStyle name="표준 2 2 3 2 3 3 2" xfId="2435" xr:uid="{00000000-0005-0000-0000-000075010000}"/>
    <cellStyle name="표준 2 2 3 2 3 4" xfId="561" xr:uid="{00000000-0005-0000-0000-000076010000}"/>
    <cellStyle name="표준 2 2 3 2 3 5" xfId="1289" xr:uid="{00000000-0005-0000-0000-000077010000}"/>
    <cellStyle name="표준 2 2 3 2 3 6" xfId="1597" xr:uid="{00000000-0005-0000-0000-000078010000}"/>
    <cellStyle name="표준 2 2 3 2 3 7" xfId="1901" xr:uid="{00000000-0005-0000-0000-000079010000}"/>
    <cellStyle name="표준 2 2 3 2 3 8" xfId="2559" xr:uid="{00000000-0005-0000-0000-00007A010000}"/>
    <cellStyle name="표준 2 2 3 2 4" xfId="224" xr:uid="{00000000-0005-0000-0000-00007B010000}"/>
    <cellStyle name="표준 2 2 3 2 4 2" xfId="716" xr:uid="{00000000-0005-0000-0000-00007C010000}"/>
    <cellStyle name="표준 2 2 3 2 4 3" xfId="1248" xr:uid="{00000000-0005-0000-0000-00007D010000}"/>
    <cellStyle name="표준 2 2 3 2 4 4" xfId="1556" xr:uid="{00000000-0005-0000-0000-00007E010000}"/>
    <cellStyle name="표준 2 2 3 2 4 5" xfId="1861" xr:uid="{00000000-0005-0000-0000-00007F010000}"/>
    <cellStyle name="표준 2 2 3 2 5" xfId="322" xr:uid="{00000000-0005-0000-0000-000080010000}"/>
    <cellStyle name="표준 2 2 3 2 5 2" xfId="854" xr:uid="{00000000-0005-0000-0000-000081010000}"/>
    <cellStyle name="표준 2 2 3 2 5 3" xfId="1387" xr:uid="{00000000-0005-0000-0000-000082010000}"/>
    <cellStyle name="표준 2 2 3 2 5 4" xfId="1695" xr:uid="{00000000-0005-0000-0000-000083010000}"/>
    <cellStyle name="표준 2 2 3 2 5 5" xfId="1979" xr:uid="{00000000-0005-0000-0000-000084010000}"/>
    <cellStyle name="표준 2 2 3 2 6" xfId="674" xr:uid="{00000000-0005-0000-0000-000085010000}"/>
    <cellStyle name="표준 2 2 3 2 6 2" xfId="2101" xr:uid="{00000000-0005-0000-0000-000086010000}"/>
    <cellStyle name="표준 2 2 3 2 7" xfId="980" xr:uid="{00000000-0005-0000-0000-000087010000}"/>
    <cellStyle name="표준 2 2 3 2 7 2" xfId="2323" xr:uid="{00000000-0005-0000-0000-000088010000}"/>
    <cellStyle name="표준 2 2 3 2 8" xfId="448" xr:uid="{00000000-0005-0000-0000-000089010000}"/>
    <cellStyle name="표준 2 2 3 2 9" xfId="1206" xr:uid="{00000000-0005-0000-0000-00008A010000}"/>
    <cellStyle name="표준 2 2 3 3" xfId="23" xr:uid="{00000000-0005-0000-0000-00008B010000}"/>
    <cellStyle name="표준 2 2 3 3 10" xfId="1502" xr:uid="{00000000-0005-0000-0000-00008C010000}"/>
    <cellStyle name="표준 2 2 3 3 11" xfId="1810" xr:uid="{00000000-0005-0000-0000-00008D010000}"/>
    <cellStyle name="표준 2 2 3 3 12" xfId="2560" xr:uid="{00000000-0005-0000-0000-00008E010000}"/>
    <cellStyle name="표준 2 2 3 3 2" xfId="98" xr:uid="{00000000-0005-0000-0000-00008F010000}"/>
    <cellStyle name="표준 2 2 3 3 2 2" xfId="385" xr:uid="{00000000-0005-0000-0000-000090010000}"/>
    <cellStyle name="표준 2 2 3 3 2 2 2" xfId="917" xr:uid="{00000000-0005-0000-0000-000091010000}"/>
    <cellStyle name="표준 2 2 3 3 2 2 2 2" xfId="2259" xr:uid="{00000000-0005-0000-0000-000092010000}"/>
    <cellStyle name="표준 2 2 3 3 2 2 3" xfId="1156" xr:uid="{00000000-0005-0000-0000-000093010000}"/>
    <cellStyle name="표준 2 2 3 3 2 2 3 2" xfId="2498" xr:uid="{00000000-0005-0000-0000-000094010000}"/>
    <cellStyle name="표준 2 2 3 3 2 2 4" xfId="624" xr:uid="{00000000-0005-0000-0000-000095010000}"/>
    <cellStyle name="표준 2 2 3 3 2 2 5" xfId="1450" xr:uid="{00000000-0005-0000-0000-000096010000}"/>
    <cellStyle name="표준 2 2 3 3 2 2 6" xfId="1758" xr:uid="{00000000-0005-0000-0000-000097010000}"/>
    <cellStyle name="표준 2 2 3 3 2 2 7" xfId="2038" xr:uid="{00000000-0005-0000-0000-000098010000}"/>
    <cellStyle name="표준 2 2 3 3 2 3" xfId="786" xr:uid="{00000000-0005-0000-0000-000099010000}"/>
    <cellStyle name="표준 2 2 3 3 2 3 2" xfId="2185" xr:uid="{00000000-0005-0000-0000-00009A010000}"/>
    <cellStyle name="표준 2 2 3 3 2 4" xfId="1043" xr:uid="{00000000-0005-0000-0000-00009B010000}"/>
    <cellStyle name="표준 2 2 3 3 2 4 2" xfId="2386" xr:uid="{00000000-0005-0000-0000-00009C010000}"/>
    <cellStyle name="표준 2 2 3 3 2 5" xfId="511" xr:uid="{00000000-0005-0000-0000-00009D010000}"/>
    <cellStyle name="표준 2 2 3 3 2 6" xfId="1318" xr:uid="{00000000-0005-0000-0000-00009E010000}"/>
    <cellStyle name="표준 2 2 3 3 2 7" xfId="1626" xr:uid="{00000000-0005-0000-0000-00009F010000}"/>
    <cellStyle name="표준 2 2 3 3 2 8" xfId="1926" xr:uid="{00000000-0005-0000-0000-0000A0010000}"/>
    <cellStyle name="표준 2 2 3 3 2 9" xfId="2561" xr:uid="{00000000-0005-0000-0000-0000A1010000}"/>
    <cellStyle name="표준 2 2 3 3 3" xfId="238" xr:uid="{00000000-0005-0000-0000-0000A2010000}"/>
    <cellStyle name="표준 2 2 3 3 3 2" xfId="745" xr:uid="{00000000-0005-0000-0000-0000A3010000}"/>
    <cellStyle name="표준 2 2 3 3 3 2 2" xfId="2146" xr:uid="{00000000-0005-0000-0000-0000A4010000}"/>
    <cellStyle name="표준 2 2 3 3 3 3" xfId="1081" xr:uid="{00000000-0005-0000-0000-0000A5010000}"/>
    <cellStyle name="표준 2 2 3 3 3 3 2" xfId="2423" xr:uid="{00000000-0005-0000-0000-0000A6010000}"/>
    <cellStyle name="표준 2 2 3 3 3 4" xfId="549" xr:uid="{00000000-0005-0000-0000-0000A7010000}"/>
    <cellStyle name="표준 2 2 3 3 3 5" xfId="1277" xr:uid="{00000000-0005-0000-0000-0000A8010000}"/>
    <cellStyle name="표준 2 2 3 3 3 6" xfId="1585" xr:uid="{00000000-0005-0000-0000-0000A9010000}"/>
    <cellStyle name="표준 2 2 3 3 3 7" xfId="1890" xr:uid="{00000000-0005-0000-0000-0000AA010000}"/>
    <cellStyle name="표준 2 2 3 3 3 8" xfId="2562" xr:uid="{00000000-0005-0000-0000-0000AB010000}"/>
    <cellStyle name="표준 2 2 3 3 4" xfId="213" xr:uid="{00000000-0005-0000-0000-0000AC010000}"/>
    <cellStyle name="표준 2 2 3 3 4 2" xfId="704" xr:uid="{00000000-0005-0000-0000-0000AD010000}"/>
    <cellStyle name="표준 2 2 3 3 4 3" xfId="1236" xr:uid="{00000000-0005-0000-0000-0000AE010000}"/>
    <cellStyle name="표준 2 2 3 3 4 4" xfId="1544" xr:uid="{00000000-0005-0000-0000-0000AF010000}"/>
    <cellStyle name="표준 2 2 3 3 4 5" xfId="1850" xr:uid="{00000000-0005-0000-0000-0000B0010000}"/>
    <cellStyle name="표준 2 2 3 3 5" xfId="310" xr:uid="{00000000-0005-0000-0000-0000B1010000}"/>
    <cellStyle name="표준 2 2 3 3 5 2" xfId="842" xr:uid="{00000000-0005-0000-0000-0000B2010000}"/>
    <cellStyle name="표준 2 2 3 3 5 3" xfId="1375" xr:uid="{00000000-0005-0000-0000-0000B3010000}"/>
    <cellStyle name="표준 2 2 3 3 5 4" xfId="1683" xr:uid="{00000000-0005-0000-0000-0000B4010000}"/>
    <cellStyle name="표준 2 2 3 3 5 5" xfId="1967" xr:uid="{00000000-0005-0000-0000-0000B5010000}"/>
    <cellStyle name="표준 2 2 3 3 6" xfId="662" xr:uid="{00000000-0005-0000-0000-0000B6010000}"/>
    <cellStyle name="표준 2 2 3 3 6 2" xfId="2089" xr:uid="{00000000-0005-0000-0000-0000B7010000}"/>
    <cellStyle name="표준 2 2 3 3 7" xfId="968" xr:uid="{00000000-0005-0000-0000-0000B8010000}"/>
    <cellStyle name="표준 2 2 3 3 7 2" xfId="2311" xr:uid="{00000000-0005-0000-0000-0000B9010000}"/>
    <cellStyle name="표준 2 2 3 3 8" xfId="436" xr:uid="{00000000-0005-0000-0000-0000BA010000}"/>
    <cellStyle name="표준 2 2 3 3 9" xfId="1194" xr:uid="{00000000-0005-0000-0000-0000BB010000}"/>
    <cellStyle name="표준 2 2 3 4" xfId="53" xr:uid="{00000000-0005-0000-0000-0000BC010000}"/>
    <cellStyle name="표준 2 2 3 4 2" xfId="340" xr:uid="{00000000-0005-0000-0000-0000BD010000}"/>
    <cellStyle name="표준 2 2 3 4 2 2" xfId="872" xr:uid="{00000000-0005-0000-0000-0000BE010000}"/>
    <cellStyle name="표준 2 2 3 4 2 2 2" xfId="2214" xr:uid="{00000000-0005-0000-0000-0000BF010000}"/>
    <cellStyle name="표준 2 2 3 4 2 3" xfId="1111" xr:uid="{00000000-0005-0000-0000-0000C0010000}"/>
    <cellStyle name="표준 2 2 3 4 2 3 2" xfId="2453" xr:uid="{00000000-0005-0000-0000-0000C1010000}"/>
    <cellStyle name="표준 2 2 3 4 2 4" xfId="579" xr:uid="{00000000-0005-0000-0000-0000C2010000}"/>
    <cellStyle name="표준 2 2 3 4 2 5" xfId="1405" xr:uid="{00000000-0005-0000-0000-0000C3010000}"/>
    <cellStyle name="표준 2 2 3 4 2 6" xfId="1713" xr:uid="{00000000-0005-0000-0000-0000C4010000}"/>
    <cellStyle name="표준 2 2 3 4 2 7" xfId="1996" xr:uid="{00000000-0005-0000-0000-0000C5010000}"/>
    <cellStyle name="표준 2 2 3 4 2 8" xfId="2564" xr:uid="{00000000-0005-0000-0000-0000C6010000}"/>
    <cellStyle name="표준 2 2 3 4 3" xfId="774" xr:uid="{00000000-0005-0000-0000-0000C7010000}"/>
    <cellStyle name="표준 2 2 3 4 3 2" xfId="2173" xr:uid="{00000000-0005-0000-0000-0000C8010000}"/>
    <cellStyle name="표준 2 2 3 4 4" xfId="998" xr:uid="{00000000-0005-0000-0000-0000C9010000}"/>
    <cellStyle name="표준 2 2 3 4 4 2" xfId="2341" xr:uid="{00000000-0005-0000-0000-0000CA010000}"/>
    <cellStyle name="표준 2 2 3 4 5" xfId="466" xr:uid="{00000000-0005-0000-0000-0000CB010000}"/>
    <cellStyle name="표준 2 2 3 4 6" xfId="1306" xr:uid="{00000000-0005-0000-0000-0000CC010000}"/>
    <cellStyle name="표준 2 2 3 4 7" xfId="1614" xr:uid="{00000000-0005-0000-0000-0000CD010000}"/>
    <cellStyle name="표준 2 2 3 4 8" xfId="1915" xr:uid="{00000000-0005-0000-0000-0000CE010000}"/>
    <cellStyle name="표준 2 2 3 4 9" xfId="2563" xr:uid="{00000000-0005-0000-0000-0000CF010000}"/>
    <cellStyle name="표준 2 2 3 5" xfId="68" xr:uid="{00000000-0005-0000-0000-0000D0010000}"/>
    <cellStyle name="표준 2 2 3 5 2" xfId="355" xr:uid="{00000000-0005-0000-0000-0000D1010000}"/>
    <cellStyle name="표준 2 2 3 5 2 2" xfId="887" xr:uid="{00000000-0005-0000-0000-0000D2010000}"/>
    <cellStyle name="표준 2 2 3 5 2 2 2" xfId="2229" xr:uid="{00000000-0005-0000-0000-0000D3010000}"/>
    <cellStyle name="표준 2 2 3 5 2 3" xfId="1126" xr:uid="{00000000-0005-0000-0000-0000D4010000}"/>
    <cellStyle name="표준 2 2 3 5 2 3 2" xfId="2468" xr:uid="{00000000-0005-0000-0000-0000D5010000}"/>
    <cellStyle name="표준 2 2 3 5 2 4" xfId="594" xr:uid="{00000000-0005-0000-0000-0000D6010000}"/>
    <cellStyle name="표준 2 2 3 5 2 5" xfId="1420" xr:uid="{00000000-0005-0000-0000-0000D7010000}"/>
    <cellStyle name="표준 2 2 3 5 2 6" xfId="1728" xr:uid="{00000000-0005-0000-0000-0000D8010000}"/>
    <cellStyle name="표준 2 2 3 5 2 7" xfId="2009" xr:uid="{00000000-0005-0000-0000-0000D9010000}"/>
    <cellStyle name="표준 2 2 3 5 3" xfId="733" xr:uid="{00000000-0005-0000-0000-0000DA010000}"/>
    <cellStyle name="표준 2 2 3 5 3 2" xfId="2134" xr:uid="{00000000-0005-0000-0000-0000DB010000}"/>
    <cellStyle name="표준 2 2 3 5 4" xfId="1013" xr:uid="{00000000-0005-0000-0000-0000DC010000}"/>
    <cellStyle name="표준 2 2 3 5 4 2" xfId="2356" xr:uid="{00000000-0005-0000-0000-0000DD010000}"/>
    <cellStyle name="표준 2 2 3 5 5" xfId="481" xr:uid="{00000000-0005-0000-0000-0000DE010000}"/>
    <cellStyle name="표준 2 2 3 5 6" xfId="1265" xr:uid="{00000000-0005-0000-0000-0000DF010000}"/>
    <cellStyle name="표준 2 2 3 5 7" xfId="1573" xr:uid="{00000000-0005-0000-0000-0000E0010000}"/>
    <cellStyle name="표준 2 2 3 5 8" xfId="1878" xr:uid="{00000000-0005-0000-0000-0000E1010000}"/>
    <cellStyle name="표준 2 2 3 5 9" xfId="2565" xr:uid="{00000000-0005-0000-0000-0000E2010000}"/>
    <cellStyle name="표준 2 2 3 6" xfId="83" xr:uid="{00000000-0005-0000-0000-0000E3010000}"/>
    <cellStyle name="표준 2 2 3 6 2" xfId="370" xr:uid="{00000000-0005-0000-0000-0000E4010000}"/>
    <cellStyle name="표준 2 2 3 6 2 2" xfId="902" xr:uid="{00000000-0005-0000-0000-0000E5010000}"/>
    <cellStyle name="표준 2 2 3 6 2 2 2" xfId="2244" xr:uid="{00000000-0005-0000-0000-0000E6010000}"/>
    <cellStyle name="표준 2 2 3 6 2 3" xfId="1141" xr:uid="{00000000-0005-0000-0000-0000E7010000}"/>
    <cellStyle name="표준 2 2 3 6 2 3 2" xfId="2483" xr:uid="{00000000-0005-0000-0000-0000E8010000}"/>
    <cellStyle name="표준 2 2 3 6 2 4" xfId="609" xr:uid="{00000000-0005-0000-0000-0000E9010000}"/>
    <cellStyle name="표준 2 2 3 6 2 5" xfId="1435" xr:uid="{00000000-0005-0000-0000-0000EA010000}"/>
    <cellStyle name="표준 2 2 3 6 2 6" xfId="1743" xr:uid="{00000000-0005-0000-0000-0000EB010000}"/>
    <cellStyle name="표준 2 2 3 6 2 7" xfId="2024" xr:uid="{00000000-0005-0000-0000-0000EC010000}"/>
    <cellStyle name="표준 2 2 3 6 3" xfId="692" xr:uid="{00000000-0005-0000-0000-0000ED010000}"/>
    <cellStyle name="표준 2 2 3 6 3 2" xfId="2119" xr:uid="{00000000-0005-0000-0000-0000EE010000}"/>
    <cellStyle name="표준 2 2 3 6 4" xfId="1028" xr:uid="{00000000-0005-0000-0000-0000EF010000}"/>
    <cellStyle name="표준 2 2 3 6 4 2" xfId="2371" xr:uid="{00000000-0005-0000-0000-0000F0010000}"/>
    <cellStyle name="표준 2 2 3 6 5" xfId="496" xr:uid="{00000000-0005-0000-0000-0000F1010000}"/>
    <cellStyle name="표준 2 2 3 6 6" xfId="1224" xr:uid="{00000000-0005-0000-0000-0000F2010000}"/>
    <cellStyle name="표준 2 2 3 6 7" xfId="1532" xr:uid="{00000000-0005-0000-0000-0000F3010000}"/>
    <cellStyle name="표준 2 2 3 6 8" xfId="1838" xr:uid="{00000000-0005-0000-0000-0000F4010000}"/>
    <cellStyle name="표준 2 2 3 6 9" xfId="2566" xr:uid="{00000000-0005-0000-0000-0000F5010000}"/>
    <cellStyle name="표준 2 2 3 7" xfId="409" xr:uid="{00000000-0005-0000-0000-0000F6010000}"/>
    <cellStyle name="표준 2 2 3 7 2" xfId="941" xr:uid="{00000000-0005-0000-0000-0000F7010000}"/>
    <cellStyle name="표준 2 2 3 7 2 2" xfId="2284" xr:uid="{00000000-0005-0000-0000-0000F8010000}"/>
    <cellStyle name="표준 2 2 3 7 3" xfId="1069" xr:uid="{00000000-0005-0000-0000-0000F9010000}"/>
    <cellStyle name="표준 2 2 3 7 3 2" xfId="2411" xr:uid="{00000000-0005-0000-0000-0000FA010000}"/>
    <cellStyle name="표준 2 2 3 7 4" xfId="537" xr:uid="{00000000-0005-0000-0000-0000FB010000}"/>
    <cellStyle name="표준 2 2 3 7 5" xfId="1475" xr:uid="{00000000-0005-0000-0000-0000FC010000}"/>
    <cellStyle name="표준 2 2 3 7 6" xfId="1783" xr:uid="{00000000-0005-0000-0000-0000FD010000}"/>
    <cellStyle name="표준 2 2 3 7 7" xfId="2062" xr:uid="{00000000-0005-0000-0000-0000FE010000}"/>
    <cellStyle name="표준 2 2 3 7 8" xfId="2567" xr:uid="{00000000-0005-0000-0000-0000FF010000}"/>
    <cellStyle name="표준 2 2 3 8" xfId="298" xr:uid="{00000000-0005-0000-0000-000000020000}"/>
    <cellStyle name="표준 2 2 3 8 2" xfId="830" xr:uid="{00000000-0005-0000-0000-000001020000}"/>
    <cellStyle name="표준 2 2 3 8 3" xfId="1363" xr:uid="{00000000-0005-0000-0000-000002020000}"/>
    <cellStyle name="표준 2 2 3 8 4" xfId="1671" xr:uid="{00000000-0005-0000-0000-000003020000}"/>
    <cellStyle name="표준 2 2 3 8 5" xfId="1955" xr:uid="{00000000-0005-0000-0000-000004020000}"/>
    <cellStyle name="표준 2 2 3 9" xfId="283" xr:uid="{00000000-0005-0000-0000-000005020000}"/>
    <cellStyle name="표준 2 2 3 9 2" xfId="815" xr:uid="{00000000-0005-0000-0000-000006020000}"/>
    <cellStyle name="표준 2 2 3 9 3" xfId="1348" xr:uid="{00000000-0005-0000-0000-000007020000}"/>
    <cellStyle name="표준 2 2 3 9 4" xfId="1656" xr:uid="{00000000-0005-0000-0000-000008020000}"/>
    <cellStyle name="표준 2 2 3 9 5" xfId="1940" xr:uid="{00000000-0005-0000-0000-000009020000}"/>
    <cellStyle name="표준 2 2 4" xfId="42" xr:uid="{00000000-0005-0000-0000-00000A020000}"/>
    <cellStyle name="표준 2 2 4 10" xfId="455" xr:uid="{00000000-0005-0000-0000-00000B020000}"/>
    <cellStyle name="표준 2 2 4 11" xfId="1213" xr:uid="{00000000-0005-0000-0000-00000C020000}"/>
    <cellStyle name="표준 2 2 4 12" xfId="1521" xr:uid="{00000000-0005-0000-0000-00000D020000}"/>
    <cellStyle name="표준 2 2 4 13" xfId="1829" xr:uid="{00000000-0005-0000-0000-00000E020000}"/>
    <cellStyle name="표준 2 2 4 2" xfId="60" xr:uid="{00000000-0005-0000-0000-00000F020000}"/>
    <cellStyle name="표준 2 2 4 2 2" xfId="347" xr:uid="{00000000-0005-0000-0000-000010020000}"/>
    <cellStyle name="표준 2 2 4 2 2 2" xfId="879" xr:uid="{00000000-0005-0000-0000-000011020000}"/>
    <cellStyle name="표준 2 2 4 2 2 2 2" xfId="2221" xr:uid="{00000000-0005-0000-0000-000012020000}"/>
    <cellStyle name="표준 2 2 4 2 2 3" xfId="1118" xr:uid="{00000000-0005-0000-0000-000013020000}"/>
    <cellStyle name="표준 2 2 4 2 2 3 2" xfId="2460" xr:uid="{00000000-0005-0000-0000-000014020000}"/>
    <cellStyle name="표준 2 2 4 2 2 4" xfId="586" xr:uid="{00000000-0005-0000-0000-000015020000}"/>
    <cellStyle name="표준 2 2 4 2 2 5" xfId="1412" xr:uid="{00000000-0005-0000-0000-000016020000}"/>
    <cellStyle name="표준 2 2 4 2 2 6" xfId="1720" xr:uid="{00000000-0005-0000-0000-000017020000}"/>
    <cellStyle name="표준 2 2 4 2 2 7" xfId="2002" xr:uid="{00000000-0005-0000-0000-000018020000}"/>
    <cellStyle name="표준 2 2 4 2 3" xfId="805" xr:uid="{00000000-0005-0000-0000-000019020000}"/>
    <cellStyle name="표준 2 2 4 2 3 2" xfId="2203" xr:uid="{00000000-0005-0000-0000-00001A020000}"/>
    <cellStyle name="표준 2 2 4 2 4" xfId="1005" xr:uid="{00000000-0005-0000-0000-00001B020000}"/>
    <cellStyle name="표준 2 2 4 2 4 2" xfId="2348" xr:uid="{00000000-0005-0000-0000-00001C020000}"/>
    <cellStyle name="표준 2 2 4 2 5" xfId="473" xr:uid="{00000000-0005-0000-0000-00001D020000}"/>
    <cellStyle name="표준 2 2 4 2 6" xfId="1337" xr:uid="{00000000-0005-0000-0000-00001E020000}"/>
    <cellStyle name="표준 2 2 4 2 7" xfId="1645" xr:uid="{00000000-0005-0000-0000-00001F020000}"/>
    <cellStyle name="표준 2 2 4 2 8" xfId="274" xr:uid="{00000000-0005-0000-0000-000020020000}"/>
    <cellStyle name="표준 2 2 4 2 9" xfId="163" xr:uid="{00000000-0005-0000-0000-000021020000}"/>
    <cellStyle name="표준 2 2 4 3" xfId="75" xr:uid="{00000000-0005-0000-0000-000022020000}"/>
    <cellStyle name="표준 2 2 4 3 2" xfId="362" xr:uid="{00000000-0005-0000-0000-000023020000}"/>
    <cellStyle name="표준 2 2 4 3 2 2" xfId="894" xr:uid="{00000000-0005-0000-0000-000024020000}"/>
    <cellStyle name="표준 2 2 4 3 2 2 2" xfId="2236" xr:uid="{00000000-0005-0000-0000-000025020000}"/>
    <cellStyle name="표준 2 2 4 3 2 3" xfId="1133" xr:uid="{00000000-0005-0000-0000-000026020000}"/>
    <cellStyle name="표준 2 2 4 3 2 3 2" xfId="2475" xr:uid="{00000000-0005-0000-0000-000027020000}"/>
    <cellStyle name="표준 2 2 4 3 2 4" xfId="601" xr:uid="{00000000-0005-0000-0000-000028020000}"/>
    <cellStyle name="표준 2 2 4 3 2 5" xfId="1427" xr:uid="{00000000-0005-0000-0000-000029020000}"/>
    <cellStyle name="표준 2 2 4 3 2 6" xfId="1735" xr:uid="{00000000-0005-0000-0000-00002A020000}"/>
    <cellStyle name="표준 2 2 4 3 2 7" xfId="2016" xr:uid="{00000000-0005-0000-0000-00002B020000}"/>
    <cellStyle name="표준 2 2 4 3 3" xfId="764" xr:uid="{00000000-0005-0000-0000-00002C020000}"/>
    <cellStyle name="표준 2 2 4 3 3 2" xfId="2164" xr:uid="{00000000-0005-0000-0000-00002D020000}"/>
    <cellStyle name="표준 2 2 4 3 4" xfId="1020" xr:uid="{00000000-0005-0000-0000-00002E020000}"/>
    <cellStyle name="표준 2 2 4 3 4 2" xfId="2363" xr:uid="{00000000-0005-0000-0000-00002F020000}"/>
    <cellStyle name="표준 2 2 4 3 5" xfId="488" xr:uid="{00000000-0005-0000-0000-000030020000}"/>
    <cellStyle name="표준 2 2 4 3 6" xfId="1296" xr:uid="{00000000-0005-0000-0000-000031020000}"/>
    <cellStyle name="표준 2 2 4 3 7" xfId="1604" xr:uid="{00000000-0005-0000-0000-000032020000}"/>
    <cellStyle name="표준 2 2 4 3 8" xfId="1908" xr:uid="{00000000-0005-0000-0000-000033020000}"/>
    <cellStyle name="표준 2 2 4 3 9" xfId="2568" xr:uid="{00000000-0005-0000-0000-000034020000}"/>
    <cellStyle name="표준 2 2 4 4" xfId="90" xr:uid="{00000000-0005-0000-0000-000035020000}"/>
    <cellStyle name="표준 2 2 4 4 2" xfId="377" xr:uid="{00000000-0005-0000-0000-000036020000}"/>
    <cellStyle name="표준 2 2 4 4 2 2" xfId="909" xr:uid="{00000000-0005-0000-0000-000037020000}"/>
    <cellStyle name="표준 2 2 4 4 2 2 2" xfId="2251" xr:uid="{00000000-0005-0000-0000-000038020000}"/>
    <cellStyle name="표준 2 2 4 4 2 3" xfId="1148" xr:uid="{00000000-0005-0000-0000-000039020000}"/>
    <cellStyle name="표준 2 2 4 4 2 3 2" xfId="2490" xr:uid="{00000000-0005-0000-0000-00003A020000}"/>
    <cellStyle name="표준 2 2 4 4 2 4" xfId="616" xr:uid="{00000000-0005-0000-0000-00003B020000}"/>
    <cellStyle name="표준 2 2 4 4 2 5" xfId="1442" xr:uid="{00000000-0005-0000-0000-00003C020000}"/>
    <cellStyle name="표준 2 2 4 4 2 6" xfId="1750" xr:uid="{00000000-0005-0000-0000-00003D020000}"/>
    <cellStyle name="표준 2 2 4 4 2 7" xfId="2031" xr:uid="{00000000-0005-0000-0000-00003E020000}"/>
    <cellStyle name="표준 2 2 4 4 3" xfId="723" xr:uid="{00000000-0005-0000-0000-00003F020000}"/>
    <cellStyle name="표준 2 2 4 4 3 2" xfId="2126" xr:uid="{00000000-0005-0000-0000-000040020000}"/>
    <cellStyle name="표준 2 2 4 4 4" xfId="1035" xr:uid="{00000000-0005-0000-0000-000041020000}"/>
    <cellStyle name="표준 2 2 4 4 4 2" xfId="2378" xr:uid="{00000000-0005-0000-0000-000042020000}"/>
    <cellStyle name="표준 2 2 4 4 5" xfId="503" xr:uid="{00000000-0005-0000-0000-000043020000}"/>
    <cellStyle name="표준 2 2 4 4 6" xfId="1255" xr:uid="{00000000-0005-0000-0000-000044020000}"/>
    <cellStyle name="표준 2 2 4 4 7" xfId="1563" xr:uid="{00000000-0005-0000-0000-000045020000}"/>
    <cellStyle name="표준 2 2 4 4 8" xfId="1868" xr:uid="{00000000-0005-0000-0000-000046020000}"/>
    <cellStyle name="표준 2 2 4 4 9" xfId="2569" xr:uid="{00000000-0005-0000-0000-000047020000}"/>
    <cellStyle name="표준 2 2 4 5" xfId="416" xr:uid="{00000000-0005-0000-0000-000048020000}"/>
    <cellStyle name="표준 2 2 4 5 2" xfId="948" xr:uid="{00000000-0005-0000-0000-000049020000}"/>
    <cellStyle name="표준 2 2 4 5 2 2" xfId="2291" xr:uid="{00000000-0005-0000-0000-00004A020000}"/>
    <cellStyle name="표준 2 2 4 5 3" xfId="1100" xr:uid="{00000000-0005-0000-0000-00004B020000}"/>
    <cellStyle name="표준 2 2 4 5 3 2" xfId="2442" xr:uid="{00000000-0005-0000-0000-00004C020000}"/>
    <cellStyle name="표준 2 2 4 5 4" xfId="568" xr:uid="{00000000-0005-0000-0000-00004D020000}"/>
    <cellStyle name="표준 2 2 4 5 5" xfId="1482" xr:uid="{00000000-0005-0000-0000-00004E020000}"/>
    <cellStyle name="표준 2 2 4 5 6" xfId="1790" xr:uid="{00000000-0005-0000-0000-00004F020000}"/>
    <cellStyle name="표준 2 2 4 5 7" xfId="2069" xr:uid="{00000000-0005-0000-0000-000050020000}"/>
    <cellStyle name="표준 2 2 4 5 8" xfId="2570" xr:uid="{00000000-0005-0000-0000-000051020000}"/>
    <cellStyle name="표준 2 2 4 6" xfId="329" xr:uid="{00000000-0005-0000-0000-000052020000}"/>
    <cellStyle name="표준 2 2 4 6 2" xfId="861" xr:uid="{00000000-0005-0000-0000-000053020000}"/>
    <cellStyle name="표준 2 2 4 6 3" xfId="1394" xr:uid="{00000000-0005-0000-0000-000054020000}"/>
    <cellStyle name="표준 2 2 4 6 4" xfId="1702" xr:uid="{00000000-0005-0000-0000-000055020000}"/>
    <cellStyle name="표준 2 2 4 6 5" xfId="1986" xr:uid="{00000000-0005-0000-0000-000056020000}"/>
    <cellStyle name="표준 2 2 4 6 6" xfId="2571" xr:uid="{00000000-0005-0000-0000-000057020000}"/>
    <cellStyle name="표준 2 2 4 7" xfId="290" xr:uid="{00000000-0005-0000-0000-000058020000}"/>
    <cellStyle name="표준 2 2 4 7 2" xfId="822" xr:uid="{00000000-0005-0000-0000-000059020000}"/>
    <cellStyle name="표준 2 2 4 7 3" xfId="1355" xr:uid="{00000000-0005-0000-0000-00005A020000}"/>
    <cellStyle name="표준 2 2 4 7 4" xfId="1663" xr:uid="{00000000-0005-0000-0000-00005B020000}"/>
    <cellStyle name="표준 2 2 4 7 5" xfId="1947" xr:uid="{00000000-0005-0000-0000-00005C020000}"/>
    <cellStyle name="표준 2 2 4 8" xfId="681" xr:uid="{00000000-0005-0000-0000-00005D020000}"/>
    <cellStyle name="표준 2 2 4 8 2" xfId="2108" xr:uid="{00000000-0005-0000-0000-00005E020000}"/>
    <cellStyle name="표준 2 2 4 9" xfId="987" xr:uid="{00000000-0005-0000-0000-00005F020000}"/>
    <cellStyle name="표준 2 2 4 9 2" xfId="2330" xr:uid="{00000000-0005-0000-0000-000060020000}"/>
    <cellStyle name="표준 2 2 5" xfId="30" xr:uid="{00000000-0005-0000-0000-000061020000}"/>
    <cellStyle name="표준 2 2 5 10" xfId="1509" xr:uid="{00000000-0005-0000-0000-000062020000}"/>
    <cellStyle name="표준 2 2 5 11" xfId="1817" xr:uid="{00000000-0005-0000-0000-000063020000}"/>
    <cellStyle name="표준 2 2 5 2" xfId="105" xr:uid="{00000000-0005-0000-0000-000064020000}"/>
    <cellStyle name="표준 2 2 5 2 2" xfId="392" xr:uid="{00000000-0005-0000-0000-000065020000}"/>
    <cellStyle name="표준 2 2 5 2 2 2" xfId="924" xr:uid="{00000000-0005-0000-0000-000066020000}"/>
    <cellStyle name="표준 2 2 5 2 2 2 2" xfId="2266" xr:uid="{00000000-0005-0000-0000-000067020000}"/>
    <cellStyle name="표준 2 2 5 2 2 3" xfId="1163" xr:uid="{00000000-0005-0000-0000-000068020000}"/>
    <cellStyle name="표준 2 2 5 2 2 3 2" xfId="2505" xr:uid="{00000000-0005-0000-0000-000069020000}"/>
    <cellStyle name="표준 2 2 5 2 2 4" xfId="631" xr:uid="{00000000-0005-0000-0000-00006A020000}"/>
    <cellStyle name="표준 2 2 5 2 2 5" xfId="1457" xr:uid="{00000000-0005-0000-0000-00006B020000}"/>
    <cellStyle name="표준 2 2 5 2 2 6" xfId="1765" xr:uid="{00000000-0005-0000-0000-00006C020000}"/>
    <cellStyle name="표준 2 2 5 2 2 7" xfId="2045" xr:uid="{00000000-0005-0000-0000-00006D020000}"/>
    <cellStyle name="표준 2 2 5 2 3" xfId="793" xr:uid="{00000000-0005-0000-0000-00006E020000}"/>
    <cellStyle name="표준 2 2 5 2 3 2" xfId="2192" xr:uid="{00000000-0005-0000-0000-00006F020000}"/>
    <cellStyle name="표준 2 2 5 2 4" xfId="1050" xr:uid="{00000000-0005-0000-0000-000070020000}"/>
    <cellStyle name="표준 2 2 5 2 4 2" xfId="2393" xr:uid="{00000000-0005-0000-0000-000071020000}"/>
    <cellStyle name="표준 2 2 5 2 5" xfId="518" xr:uid="{00000000-0005-0000-0000-000072020000}"/>
    <cellStyle name="표준 2 2 5 2 6" xfId="1325" xr:uid="{00000000-0005-0000-0000-000073020000}"/>
    <cellStyle name="표준 2 2 5 2 7" xfId="1633" xr:uid="{00000000-0005-0000-0000-000074020000}"/>
    <cellStyle name="표준 2 2 5 2 8" xfId="263" xr:uid="{00000000-0005-0000-0000-000075020000}"/>
    <cellStyle name="표준 2 2 5 2 9" xfId="164" xr:uid="{00000000-0005-0000-0000-000076020000}"/>
    <cellStyle name="표준 2 2 5 3" xfId="245" xr:uid="{00000000-0005-0000-0000-000077020000}"/>
    <cellStyle name="표준 2 2 5 3 2" xfId="752" xr:uid="{00000000-0005-0000-0000-000078020000}"/>
    <cellStyle name="표준 2 2 5 3 2 2" xfId="2153" xr:uid="{00000000-0005-0000-0000-000079020000}"/>
    <cellStyle name="표준 2 2 5 3 3" xfId="1088" xr:uid="{00000000-0005-0000-0000-00007A020000}"/>
    <cellStyle name="표준 2 2 5 3 3 2" xfId="2430" xr:uid="{00000000-0005-0000-0000-00007B020000}"/>
    <cellStyle name="표준 2 2 5 3 4" xfId="556" xr:uid="{00000000-0005-0000-0000-00007C020000}"/>
    <cellStyle name="표준 2 2 5 3 5" xfId="1284" xr:uid="{00000000-0005-0000-0000-00007D020000}"/>
    <cellStyle name="표준 2 2 5 3 6" xfId="1592" xr:uid="{00000000-0005-0000-0000-00007E020000}"/>
    <cellStyle name="표준 2 2 5 3 7" xfId="1896" xr:uid="{00000000-0005-0000-0000-00007F020000}"/>
    <cellStyle name="표준 2 2 5 3 8" xfId="2572" xr:uid="{00000000-0005-0000-0000-000080020000}"/>
    <cellStyle name="표준 2 2 5 4" xfId="219" xr:uid="{00000000-0005-0000-0000-000081020000}"/>
    <cellStyle name="표준 2 2 5 4 2" xfId="711" xr:uid="{00000000-0005-0000-0000-000082020000}"/>
    <cellStyle name="표준 2 2 5 4 3" xfId="1243" xr:uid="{00000000-0005-0000-0000-000083020000}"/>
    <cellStyle name="표준 2 2 5 4 4" xfId="1551" xr:uid="{00000000-0005-0000-0000-000084020000}"/>
    <cellStyle name="표준 2 2 5 4 5" xfId="1857" xr:uid="{00000000-0005-0000-0000-000085020000}"/>
    <cellStyle name="표준 2 2 5 5" xfId="317" xr:uid="{00000000-0005-0000-0000-000086020000}"/>
    <cellStyle name="표준 2 2 5 5 2" xfId="849" xr:uid="{00000000-0005-0000-0000-000087020000}"/>
    <cellStyle name="표준 2 2 5 5 3" xfId="1382" xr:uid="{00000000-0005-0000-0000-000088020000}"/>
    <cellStyle name="표준 2 2 5 5 4" xfId="1690" xr:uid="{00000000-0005-0000-0000-000089020000}"/>
    <cellStyle name="표준 2 2 5 5 5" xfId="1974" xr:uid="{00000000-0005-0000-0000-00008A020000}"/>
    <cellStyle name="표준 2 2 5 6" xfId="669" xr:uid="{00000000-0005-0000-0000-00008B020000}"/>
    <cellStyle name="표준 2 2 5 6 2" xfId="2096" xr:uid="{00000000-0005-0000-0000-00008C020000}"/>
    <cellStyle name="표준 2 2 5 7" xfId="975" xr:uid="{00000000-0005-0000-0000-00008D020000}"/>
    <cellStyle name="표준 2 2 5 7 2" xfId="2318" xr:uid="{00000000-0005-0000-0000-00008E020000}"/>
    <cellStyle name="표준 2 2 5 8" xfId="443" xr:uid="{00000000-0005-0000-0000-00008F020000}"/>
    <cellStyle name="표준 2 2 5 9" xfId="1201" xr:uid="{00000000-0005-0000-0000-000090020000}"/>
    <cellStyle name="표준 2 2 6" xfId="18" xr:uid="{00000000-0005-0000-0000-000091020000}"/>
    <cellStyle name="표준 2 2 6 10" xfId="1497" xr:uid="{00000000-0005-0000-0000-000092020000}"/>
    <cellStyle name="표준 2 2 6 11" xfId="1805" xr:uid="{00000000-0005-0000-0000-000093020000}"/>
    <cellStyle name="표준 2 2 6 12" xfId="2573" xr:uid="{00000000-0005-0000-0000-000094020000}"/>
    <cellStyle name="표준 2 2 6 2" xfId="93" xr:uid="{00000000-0005-0000-0000-000095020000}"/>
    <cellStyle name="표준 2 2 6 2 2" xfId="380" xr:uid="{00000000-0005-0000-0000-000096020000}"/>
    <cellStyle name="표준 2 2 6 2 2 2" xfId="912" xr:uid="{00000000-0005-0000-0000-000097020000}"/>
    <cellStyle name="표준 2 2 6 2 2 2 2" xfId="2254" xr:uid="{00000000-0005-0000-0000-000098020000}"/>
    <cellStyle name="표준 2 2 6 2 2 3" xfId="1151" xr:uid="{00000000-0005-0000-0000-000099020000}"/>
    <cellStyle name="표준 2 2 6 2 2 3 2" xfId="2493" xr:uid="{00000000-0005-0000-0000-00009A020000}"/>
    <cellStyle name="표준 2 2 6 2 2 4" xfId="619" xr:uid="{00000000-0005-0000-0000-00009B020000}"/>
    <cellStyle name="표준 2 2 6 2 2 5" xfId="1445" xr:uid="{00000000-0005-0000-0000-00009C020000}"/>
    <cellStyle name="표준 2 2 6 2 2 6" xfId="1753" xr:uid="{00000000-0005-0000-0000-00009D020000}"/>
    <cellStyle name="표준 2 2 6 2 2 7" xfId="2033" xr:uid="{00000000-0005-0000-0000-00009E020000}"/>
    <cellStyle name="표준 2 2 6 2 3" xfId="781" xr:uid="{00000000-0005-0000-0000-00009F020000}"/>
    <cellStyle name="표준 2 2 6 2 3 2" xfId="2180" xr:uid="{00000000-0005-0000-0000-0000A0020000}"/>
    <cellStyle name="표준 2 2 6 2 4" xfId="1038" xr:uid="{00000000-0005-0000-0000-0000A1020000}"/>
    <cellStyle name="표준 2 2 6 2 4 2" xfId="2381" xr:uid="{00000000-0005-0000-0000-0000A2020000}"/>
    <cellStyle name="표준 2 2 6 2 5" xfId="506" xr:uid="{00000000-0005-0000-0000-0000A3020000}"/>
    <cellStyle name="표준 2 2 6 2 6" xfId="1313" xr:uid="{00000000-0005-0000-0000-0000A4020000}"/>
    <cellStyle name="표준 2 2 6 2 7" xfId="1621" xr:uid="{00000000-0005-0000-0000-0000A5020000}"/>
    <cellStyle name="표준 2 2 6 2 8" xfId="1921" xr:uid="{00000000-0005-0000-0000-0000A6020000}"/>
    <cellStyle name="표준 2 2 6 2 9" xfId="2574" xr:uid="{00000000-0005-0000-0000-0000A7020000}"/>
    <cellStyle name="표준 2 2 6 3" xfId="233" xr:uid="{00000000-0005-0000-0000-0000A8020000}"/>
    <cellStyle name="표준 2 2 6 3 2" xfId="740" xr:uid="{00000000-0005-0000-0000-0000A9020000}"/>
    <cellStyle name="표준 2 2 6 3 2 2" xfId="2141" xr:uid="{00000000-0005-0000-0000-0000AA020000}"/>
    <cellStyle name="표준 2 2 6 3 3" xfId="1076" xr:uid="{00000000-0005-0000-0000-0000AB020000}"/>
    <cellStyle name="표준 2 2 6 3 3 2" xfId="2418" xr:uid="{00000000-0005-0000-0000-0000AC020000}"/>
    <cellStyle name="표준 2 2 6 3 4" xfId="544" xr:uid="{00000000-0005-0000-0000-0000AD020000}"/>
    <cellStyle name="표준 2 2 6 3 5" xfId="1272" xr:uid="{00000000-0005-0000-0000-0000AE020000}"/>
    <cellStyle name="표준 2 2 6 3 6" xfId="1580" xr:uid="{00000000-0005-0000-0000-0000AF020000}"/>
    <cellStyle name="표준 2 2 6 3 7" xfId="1885" xr:uid="{00000000-0005-0000-0000-0000B0020000}"/>
    <cellStyle name="표준 2 2 6 3 8" xfId="2575" xr:uid="{00000000-0005-0000-0000-0000B1020000}"/>
    <cellStyle name="표준 2 2 6 4" xfId="208" xr:uid="{00000000-0005-0000-0000-0000B2020000}"/>
    <cellStyle name="표준 2 2 6 4 2" xfId="699" xr:uid="{00000000-0005-0000-0000-0000B3020000}"/>
    <cellStyle name="표준 2 2 6 4 3" xfId="1231" xr:uid="{00000000-0005-0000-0000-0000B4020000}"/>
    <cellStyle name="표준 2 2 6 4 4" xfId="1539" xr:uid="{00000000-0005-0000-0000-0000B5020000}"/>
    <cellStyle name="표준 2 2 6 4 5" xfId="1845" xr:uid="{00000000-0005-0000-0000-0000B6020000}"/>
    <cellStyle name="표준 2 2 6 5" xfId="305" xr:uid="{00000000-0005-0000-0000-0000B7020000}"/>
    <cellStyle name="표준 2 2 6 5 2" xfId="837" xr:uid="{00000000-0005-0000-0000-0000B8020000}"/>
    <cellStyle name="표준 2 2 6 5 3" xfId="1370" xr:uid="{00000000-0005-0000-0000-0000B9020000}"/>
    <cellStyle name="표준 2 2 6 5 4" xfId="1678" xr:uid="{00000000-0005-0000-0000-0000BA020000}"/>
    <cellStyle name="표준 2 2 6 5 5" xfId="1962" xr:uid="{00000000-0005-0000-0000-0000BB020000}"/>
    <cellStyle name="표준 2 2 6 6" xfId="657" xr:uid="{00000000-0005-0000-0000-0000BC020000}"/>
    <cellStyle name="표준 2 2 6 6 2" xfId="2084" xr:uid="{00000000-0005-0000-0000-0000BD020000}"/>
    <cellStyle name="표준 2 2 6 7" xfId="963" xr:uid="{00000000-0005-0000-0000-0000BE020000}"/>
    <cellStyle name="표준 2 2 6 7 2" xfId="2306" xr:uid="{00000000-0005-0000-0000-0000BF020000}"/>
    <cellStyle name="표준 2 2 6 8" xfId="431" xr:uid="{00000000-0005-0000-0000-0000C0020000}"/>
    <cellStyle name="표준 2 2 6 9" xfId="1189" xr:uid="{00000000-0005-0000-0000-0000C1020000}"/>
    <cellStyle name="표준 2 2 7" xfId="48" xr:uid="{00000000-0005-0000-0000-0000C2020000}"/>
    <cellStyle name="표준 2 2 7 2" xfId="335" xr:uid="{00000000-0005-0000-0000-0000C3020000}"/>
    <cellStyle name="표준 2 2 7 2 2" xfId="867" xr:uid="{00000000-0005-0000-0000-0000C4020000}"/>
    <cellStyle name="표준 2 2 7 2 2 2" xfId="2209" xr:uid="{00000000-0005-0000-0000-0000C5020000}"/>
    <cellStyle name="표준 2 2 7 2 3" xfId="1106" xr:uid="{00000000-0005-0000-0000-0000C6020000}"/>
    <cellStyle name="표준 2 2 7 2 3 2" xfId="2448" xr:uid="{00000000-0005-0000-0000-0000C7020000}"/>
    <cellStyle name="표준 2 2 7 2 4" xfId="574" xr:uid="{00000000-0005-0000-0000-0000C8020000}"/>
    <cellStyle name="표준 2 2 7 2 5" xfId="1400" xr:uid="{00000000-0005-0000-0000-0000C9020000}"/>
    <cellStyle name="표준 2 2 7 2 6" xfId="1708" xr:uid="{00000000-0005-0000-0000-0000CA020000}"/>
    <cellStyle name="표준 2 2 7 2 7" xfId="1991" xr:uid="{00000000-0005-0000-0000-0000CB020000}"/>
    <cellStyle name="표준 2 2 7 2 8" xfId="2577" xr:uid="{00000000-0005-0000-0000-0000CC020000}"/>
    <cellStyle name="표준 2 2 7 3" xfId="769" xr:uid="{00000000-0005-0000-0000-0000CD020000}"/>
    <cellStyle name="표준 2 2 7 3 2" xfId="2168" xr:uid="{00000000-0005-0000-0000-0000CE020000}"/>
    <cellStyle name="표준 2 2 7 4" xfId="993" xr:uid="{00000000-0005-0000-0000-0000CF020000}"/>
    <cellStyle name="표준 2 2 7 4 2" xfId="2336" xr:uid="{00000000-0005-0000-0000-0000D0020000}"/>
    <cellStyle name="표준 2 2 7 5" xfId="461" xr:uid="{00000000-0005-0000-0000-0000D1020000}"/>
    <cellStyle name="표준 2 2 7 6" xfId="1301" xr:uid="{00000000-0005-0000-0000-0000D2020000}"/>
    <cellStyle name="표준 2 2 7 7" xfId="1609" xr:uid="{00000000-0005-0000-0000-0000D3020000}"/>
    <cellStyle name="표준 2 2 7 8" xfId="1912" xr:uid="{00000000-0005-0000-0000-0000D4020000}"/>
    <cellStyle name="표준 2 2 7 9" xfId="2576" xr:uid="{00000000-0005-0000-0000-0000D5020000}"/>
    <cellStyle name="표준 2 2 8" xfId="63" xr:uid="{00000000-0005-0000-0000-0000D6020000}"/>
    <cellStyle name="표준 2 2 8 2" xfId="350" xr:uid="{00000000-0005-0000-0000-0000D7020000}"/>
    <cellStyle name="표준 2 2 8 2 2" xfId="882" xr:uid="{00000000-0005-0000-0000-0000D8020000}"/>
    <cellStyle name="표준 2 2 8 2 2 2" xfId="2224" xr:uid="{00000000-0005-0000-0000-0000D9020000}"/>
    <cellStyle name="표준 2 2 8 2 3" xfId="1121" xr:uid="{00000000-0005-0000-0000-0000DA020000}"/>
    <cellStyle name="표준 2 2 8 2 3 2" xfId="2463" xr:uid="{00000000-0005-0000-0000-0000DB020000}"/>
    <cellStyle name="표준 2 2 8 2 4" xfId="589" xr:uid="{00000000-0005-0000-0000-0000DC020000}"/>
    <cellStyle name="표준 2 2 8 2 5" xfId="1415" xr:uid="{00000000-0005-0000-0000-0000DD020000}"/>
    <cellStyle name="표준 2 2 8 2 6" xfId="1723" xr:uid="{00000000-0005-0000-0000-0000DE020000}"/>
    <cellStyle name="표준 2 2 8 2 7" xfId="2005" xr:uid="{00000000-0005-0000-0000-0000DF020000}"/>
    <cellStyle name="표준 2 2 8 3" xfId="728" xr:uid="{00000000-0005-0000-0000-0000E0020000}"/>
    <cellStyle name="표준 2 2 8 3 2" xfId="2129" xr:uid="{00000000-0005-0000-0000-0000E1020000}"/>
    <cellStyle name="표준 2 2 8 4" xfId="1008" xr:uid="{00000000-0005-0000-0000-0000E2020000}"/>
    <cellStyle name="표준 2 2 8 4 2" xfId="2351" xr:uid="{00000000-0005-0000-0000-0000E3020000}"/>
    <cellStyle name="표준 2 2 8 5" xfId="476" xr:uid="{00000000-0005-0000-0000-0000E4020000}"/>
    <cellStyle name="표준 2 2 8 6" xfId="1260" xr:uid="{00000000-0005-0000-0000-0000E5020000}"/>
    <cellStyle name="표준 2 2 8 7" xfId="1568" xr:uid="{00000000-0005-0000-0000-0000E6020000}"/>
    <cellStyle name="표준 2 2 8 8" xfId="1873" xr:uid="{00000000-0005-0000-0000-0000E7020000}"/>
    <cellStyle name="표준 2 2 8 9" xfId="2578" xr:uid="{00000000-0005-0000-0000-0000E8020000}"/>
    <cellStyle name="표준 2 2 9" xfId="78" xr:uid="{00000000-0005-0000-0000-0000E9020000}"/>
    <cellStyle name="표준 2 2 9 2" xfId="365" xr:uid="{00000000-0005-0000-0000-0000EA020000}"/>
    <cellStyle name="표준 2 2 9 2 2" xfId="897" xr:uid="{00000000-0005-0000-0000-0000EB020000}"/>
    <cellStyle name="표준 2 2 9 2 2 2" xfId="2239" xr:uid="{00000000-0005-0000-0000-0000EC020000}"/>
    <cellStyle name="표준 2 2 9 2 3" xfId="1136" xr:uid="{00000000-0005-0000-0000-0000ED020000}"/>
    <cellStyle name="표준 2 2 9 2 3 2" xfId="2478" xr:uid="{00000000-0005-0000-0000-0000EE020000}"/>
    <cellStyle name="표준 2 2 9 2 4" xfId="604" xr:uid="{00000000-0005-0000-0000-0000EF020000}"/>
    <cellStyle name="표준 2 2 9 2 5" xfId="1430" xr:uid="{00000000-0005-0000-0000-0000F0020000}"/>
    <cellStyle name="표준 2 2 9 2 6" xfId="1738" xr:uid="{00000000-0005-0000-0000-0000F1020000}"/>
    <cellStyle name="표준 2 2 9 2 7" xfId="2019" xr:uid="{00000000-0005-0000-0000-0000F2020000}"/>
    <cellStyle name="표준 2 2 9 3" xfId="687" xr:uid="{00000000-0005-0000-0000-0000F3020000}"/>
    <cellStyle name="표준 2 2 9 3 2" xfId="2114" xr:uid="{00000000-0005-0000-0000-0000F4020000}"/>
    <cellStyle name="표준 2 2 9 4" xfId="1023" xr:uid="{00000000-0005-0000-0000-0000F5020000}"/>
    <cellStyle name="표준 2 2 9 4 2" xfId="2366" xr:uid="{00000000-0005-0000-0000-0000F6020000}"/>
    <cellStyle name="표준 2 2 9 5" xfId="491" xr:uid="{00000000-0005-0000-0000-0000F7020000}"/>
    <cellStyle name="표준 2 2 9 6" xfId="1219" xr:uid="{00000000-0005-0000-0000-0000F8020000}"/>
    <cellStyle name="표준 2 2 9 7" xfId="1527" xr:uid="{00000000-0005-0000-0000-0000F9020000}"/>
    <cellStyle name="표준 2 2 9 8" xfId="1834" xr:uid="{00000000-0005-0000-0000-0000FA020000}"/>
    <cellStyle name="표준 2 2 9 9" xfId="2579" xr:uid="{00000000-0005-0000-0000-0000FB020000}"/>
    <cellStyle name="표준 2 20" xfId="1792" xr:uid="{00000000-0005-0000-0000-0000FC020000}"/>
    <cellStyle name="표준 2 3" xfId="6" xr:uid="{00000000-0005-0000-0000-0000FD020000}"/>
    <cellStyle name="표준 2 3 10" xfId="294" xr:uid="{00000000-0005-0000-0000-0000FE020000}"/>
    <cellStyle name="표준 2 3 10 2" xfId="826" xr:uid="{00000000-0005-0000-0000-0000FF020000}"/>
    <cellStyle name="표준 2 3 10 3" xfId="1359" xr:uid="{00000000-0005-0000-0000-000000030000}"/>
    <cellStyle name="표준 2 3 10 4" xfId="1667" xr:uid="{00000000-0005-0000-0000-000001030000}"/>
    <cellStyle name="표준 2 3 10 5" xfId="1951" xr:uid="{00000000-0005-0000-0000-000002030000}"/>
    <cellStyle name="표준 2 3 11" xfId="279" xr:uid="{00000000-0005-0000-0000-000003030000}"/>
    <cellStyle name="표준 2 3 11 2" xfId="811" xr:uid="{00000000-0005-0000-0000-000004030000}"/>
    <cellStyle name="표준 2 3 11 3" xfId="1344" xr:uid="{00000000-0005-0000-0000-000005030000}"/>
    <cellStyle name="표준 2 3 11 4" xfId="1652" xr:uid="{00000000-0005-0000-0000-000006030000}"/>
    <cellStyle name="표준 2 3 11 5" xfId="1936" xr:uid="{00000000-0005-0000-0000-000007030000}"/>
    <cellStyle name="표준 2 3 12" xfId="646" xr:uid="{00000000-0005-0000-0000-000008030000}"/>
    <cellStyle name="표준 2 3 12 2" xfId="2073" xr:uid="{00000000-0005-0000-0000-000009030000}"/>
    <cellStyle name="표준 2 3 13" xfId="952" xr:uid="{00000000-0005-0000-0000-00000A030000}"/>
    <cellStyle name="표준 2 3 13 2" xfId="2295" xr:uid="{00000000-0005-0000-0000-00000B030000}"/>
    <cellStyle name="표준 2 3 14" xfId="420" xr:uid="{00000000-0005-0000-0000-00000C030000}"/>
    <cellStyle name="표준 2 3 15" xfId="1178" xr:uid="{00000000-0005-0000-0000-00000D030000}"/>
    <cellStyle name="표준 2 3 16" xfId="1486" xr:uid="{00000000-0005-0000-0000-00000E030000}"/>
    <cellStyle name="표준 2 3 17" xfId="1794" xr:uid="{00000000-0005-0000-0000-00000F030000}"/>
    <cellStyle name="표준 2 3 18" xfId="136" xr:uid="{00000000-0005-0000-0000-000010030000}"/>
    <cellStyle name="표준 2 3 2" xfId="14" xr:uid="{00000000-0005-0000-0000-000011030000}"/>
    <cellStyle name="표준 2 3 2 10" xfId="653" xr:uid="{00000000-0005-0000-0000-000012030000}"/>
    <cellStyle name="표준 2 3 2 10 2" xfId="2080" xr:uid="{00000000-0005-0000-0000-000013030000}"/>
    <cellStyle name="표준 2 3 2 11" xfId="959" xr:uid="{00000000-0005-0000-0000-000014030000}"/>
    <cellStyle name="표준 2 3 2 11 2" xfId="2302" xr:uid="{00000000-0005-0000-0000-000015030000}"/>
    <cellStyle name="표준 2 3 2 12" xfId="427" xr:uid="{00000000-0005-0000-0000-000016030000}"/>
    <cellStyle name="표준 2 3 2 13" xfId="1185" xr:uid="{00000000-0005-0000-0000-000017030000}"/>
    <cellStyle name="표준 2 3 2 14" xfId="1493" xr:uid="{00000000-0005-0000-0000-000018030000}"/>
    <cellStyle name="표준 2 3 2 15" xfId="1801" xr:uid="{00000000-0005-0000-0000-000019030000}"/>
    <cellStyle name="표준 2 3 2 2" xfId="38" xr:uid="{00000000-0005-0000-0000-00001A030000}"/>
    <cellStyle name="표준 2 3 2 2 10" xfId="1517" xr:uid="{00000000-0005-0000-0000-00001B030000}"/>
    <cellStyle name="표준 2 3 2 2 11" xfId="1825" xr:uid="{00000000-0005-0000-0000-00001C030000}"/>
    <cellStyle name="표준 2 3 2 2 2" xfId="113" xr:uid="{00000000-0005-0000-0000-00001D030000}"/>
    <cellStyle name="표준 2 3 2 2 2 2" xfId="400" xr:uid="{00000000-0005-0000-0000-00001E030000}"/>
    <cellStyle name="표준 2 3 2 2 2 2 2" xfId="932" xr:uid="{00000000-0005-0000-0000-00001F030000}"/>
    <cellStyle name="표준 2 3 2 2 2 2 2 2" xfId="2274" xr:uid="{00000000-0005-0000-0000-000020030000}"/>
    <cellStyle name="표준 2 3 2 2 2 2 3" xfId="1171" xr:uid="{00000000-0005-0000-0000-000021030000}"/>
    <cellStyle name="표준 2 3 2 2 2 2 3 2" xfId="2513" xr:uid="{00000000-0005-0000-0000-000022030000}"/>
    <cellStyle name="표준 2 3 2 2 2 2 4" xfId="639" xr:uid="{00000000-0005-0000-0000-000023030000}"/>
    <cellStyle name="표준 2 3 2 2 2 2 5" xfId="1465" xr:uid="{00000000-0005-0000-0000-000024030000}"/>
    <cellStyle name="표준 2 3 2 2 2 2 6" xfId="1773" xr:uid="{00000000-0005-0000-0000-000025030000}"/>
    <cellStyle name="표준 2 3 2 2 2 2 7" xfId="2053" xr:uid="{00000000-0005-0000-0000-000026030000}"/>
    <cellStyle name="표준 2 3 2 2 2 3" xfId="801" xr:uid="{00000000-0005-0000-0000-000027030000}"/>
    <cellStyle name="표준 2 3 2 2 2 3 2" xfId="2200" xr:uid="{00000000-0005-0000-0000-000028030000}"/>
    <cellStyle name="표준 2 3 2 2 2 4" xfId="1058" xr:uid="{00000000-0005-0000-0000-000029030000}"/>
    <cellStyle name="표준 2 3 2 2 2 4 2" xfId="2401" xr:uid="{00000000-0005-0000-0000-00002A030000}"/>
    <cellStyle name="표준 2 3 2 2 2 5" xfId="526" xr:uid="{00000000-0005-0000-0000-00002B030000}"/>
    <cellStyle name="표준 2 3 2 2 2 6" xfId="1333" xr:uid="{00000000-0005-0000-0000-00002C030000}"/>
    <cellStyle name="표준 2 3 2 2 2 7" xfId="1641" xr:uid="{00000000-0005-0000-0000-00002D030000}"/>
    <cellStyle name="표준 2 3 2 2 2 8" xfId="271" xr:uid="{00000000-0005-0000-0000-00002E030000}"/>
    <cellStyle name="표준 2 3 2 2 2 9" xfId="166" xr:uid="{00000000-0005-0000-0000-00002F030000}"/>
    <cellStyle name="표준 2 3 2 2 3" xfId="252" xr:uid="{00000000-0005-0000-0000-000030030000}"/>
    <cellStyle name="표준 2 3 2 2 3 2" xfId="760" xr:uid="{00000000-0005-0000-0000-000031030000}"/>
    <cellStyle name="표준 2 3 2 2 3 2 2" xfId="2160" xr:uid="{00000000-0005-0000-0000-000032030000}"/>
    <cellStyle name="표준 2 3 2 2 3 3" xfId="1096" xr:uid="{00000000-0005-0000-0000-000033030000}"/>
    <cellStyle name="표준 2 3 2 2 3 3 2" xfId="2438" xr:uid="{00000000-0005-0000-0000-000034030000}"/>
    <cellStyle name="표준 2 3 2 2 3 4" xfId="564" xr:uid="{00000000-0005-0000-0000-000035030000}"/>
    <cellStyle name="표준 2 3 2 2 3 5" xfId="1292" xr:uid="{00000000-0005-0000-0000-000036030000}"/>
    <cellStyle name="표준 2 3 2 2 3 6" xfId="1600" xr:uid="{00000000-0005-0000-0000-000037030000}"/>
    <cellStyle name="표준 2 3 2 2 3 7" xfId="1904" xr:uid="{00000000-0005-0000-0000-000038030000}"/>
    <cellStyle name="표준 2 3 2 2 3 8" xfId="2580" xr:uid="{00000000-0005-0000-0000-000039030000}"/>
    <cellStyle name="표준 2 3 2 2 4" xfId="227" xr:uid="{00000000-0005-0000-0000-00003A030000}"/>
    <cellStyle name="표준 2 3 2 2 4 2" xfId="719" xr:uid="{00000000-0005-0000-0000-00003B030000}"/>
    <cellStyle name="표준 2 3 2 2 4 3" xfId="1251" xr:uid="{00000000-0005-0000-0000-00003C030000}"/>
    <cellStyle name="표준 2 3 2 2 4 4" xfId="1559" xr:uid="{00000000-0005-0000-0000-00003D030000}"/>
    <cellStyle name="표준 2 3 2 2 4 5" xfId="1864" xr:uid="{00000000-0005-0000-0000-00003E030000}"/>
    <cellStyle name="표준 2 3 2 2 5" xfId="325" xr:uid="{00000000-0005-0000-0000-00003F030000}"/>
    <cellStyle name="표준 2 3 2 2 5 2" xfId="857" xr:uid="{00000000-0005-0000-0000-000040030000}"/>
    <cellStyle name="표준 2 3 2 2 5 3" xfId="1390" xr:uid="{00000000-0005-0000-0000-000041030000}"/>
    <cellStyle name="표준 2 3 2 2 5 4" xfId="1698" xr:uid="{00000000-0005-0000-0000-000042030000}"/>
    <cellStyle name="표준 2 3 2 2 5 5" xfId="1982" xr:uid="{00000000-0005-0000-0000-000043030000}"/>
    <cellStyle name="표준 2 3 2 2 6" xfId="677" xr:uid="{00000000-0005-0000-0000-000044030000}"/>
    <cellStyle name="표준 2 3 2 2 6 2" xfId="2104" xr:uid="{00000000-0005-0000-0000-000045030000}"/>
    <cellStyle name="표준 2 3 2 2 7" xfId="983" xr:uid="{00000000-0005-0000-0000-000046030000}"/>
    <cellStyle name="표준 2 3 2 2 7 2" xfId="2326" xr:uid="{00000000-0005-0000-0000-000047030000}"/>
    <cellStyle name="표준 2 3 2 2 8" xfId="451" xr:uid="{00000000-0005-0000-0000-000048030000}"/>
    <cellStyle name="표준 2 3 2 2 9" xfId="1209" xr:uid="{00000000-0005-0000-0000-000049030000}"/>
    <cellStyle name="표준 2 3 2 3" xfId="26" xr:uid="{00000000-0005-0000-0000-00004A030000}"/>
    <cellStyle name="표준 2 3 2 3 10" xfId="1505" xr:uid="{00000000-0005-0000-0000-00004B030000}"/>
    <cellStyle name="표준 2 3 2 3 11" xfId="1813" xr:uid="{00000000-0005-0000-0000-00004C030000}"/>
    <cellStyle name="표준 2 3 2 3 12" xfId="165" xr:uid="{00000000-0005-0000-0000-00004D030000}"/>
    <cellStyle name="표준 2 3 2 3 2" xfId="101" xr:uid="{00000000-0005-0000-0000-00004E030000}"/>
    <cellStyle name="표준 2 3 2 3 2 2" xfId="388" xr:uid="{00000000-0005-0000-0000-00004F030000}"/>
    <cellStyle name="표준 2 3 2 3 2 2 2" xfId="920" xr:uid="{00000000-0005-0000-0000-000050030000}"/>
    <cellStyle name="표준 2 3 2 3 2 2 2 2" xfId="2262" xr:uid="{00000000-0005-0000-0000-000051030000}"/>
    <cellStyle name="표준 2 3 2 3 2 2 3" xfId="1159" xr:uid="{00000000-0005-0000-0000-000052030000}"/>
    <cellStyle name="표준 2 3 2 3 2 2 3 2" xfId="2501" xr:uid="{00000000-0005-0000-0000-000053030000}"/>
    <cellStyle name="표준 2 3 2 3 2 2 4" xfId="627" xr:uid="{00000000-0005-0000-0000-000054030000}"/>
    <cellStyle name="표준 2 3 2 3 2 2 5" xfId="1453" xr:uid="{00000000-0005-0000-0000-000055030000}"/>
    <cellStyle name="표준 2 3 2 3 2 2 6" xfId="1761" xr:uid="{00000000-0005-0000-0000-000056030000}"/>
    <cellStyle name="표준 2 3 2 3 2 2 7" xfId="2041" xr:uid="{00000000-0005-0000-0000-000057030000}"/>
    <cellStyle name="표준 2 3 2 3 2 3" xfId="789" xr:uid="{00000000-0005-0000-0000-000058030000}"/>
    <cellStyle name="표준 2 3 2 3 2 3 2" xfId="2188" xr:uid="{00000000-0005-0000-0000-000059030000}"/>
    <cellStyle name="표준 2 3 2 3 2 4" xfId="1046" xr:uid="{00000000-0005-0000-0000-00005A030000}"/>
    <cellStyle name="표준 2 3 2 3 2 4 2" xfId="2389" xr:uid="{00000000-0005-0000-0000-00005B030000}"/>
    <cellStyle name="표준 2 3 2 3 2 5" xfId="514" xr:uid="{00000000-0005-0000-0000-00005C030000}"/>
    <cellStyle name="표준 2 3 2 3 2 6" xfId="1321" xr:uid="{00000000-0005-0000-0000-00005D030000}"/>
    <cellStyle name="표준 2 3 2 3 2 7" xfId="1629" xr:uid="{00000000-0005-0000-0000-00005E030000}"/>
    <cellStyle name="표준 2 3 2 3 2 8" xfId="1929" xr:uid="{00000000-0005-0000-0000-00005F030000}"/>
    <cellStyle name="표준 2 3 2 3 2 9" xfId="2581" xr:uid="{00000000-0005-0000-0000-000060030000}"/>
    <cellStyle name="표준 2 3 2 3 3" xfId="241" xr:uid="{00000000-0005-0000-0000-000061030000}"/>
    <cellStyle name="표준 2 3 2 3 3 2" xfId="748" xr:uid="{00000000-0005-0000-0000-000062030000}"/>
    <cellStyle name="표준 2 3 2 3 3 2 2" xfId="2149" xr:uid="{00000000-0005-0000-0000-000063030000}"/>
    <cellStyle name="표준 2 3 2 3 3 3" xfId="1084" xr:uid="{00000000-0005-0000-0000-000064030000}"/>
    <cellStyle name="표준 2 3 2 3 3 3 2" xfId="2426" xr:uid="{00000000-0005-0000-0000-000065030000}"/>
    <cellStyle name="표준 2 3 2 3 3 4" xfId="552" xr:uid="{00000000-0005-0000-0000-000066030000}"/>
    <cellStyle name="표준 2 3 2 3 3 5" xfId="1280" xr:uid="{00000000-0005-0000-0000-000067030000}"/>
    <cellStyle name="표준 2 3 2 3 3 6" xfId="1588" xr:uid="{00000000-0005-0000-0000-000068030000}"/>
    <cellStyle name="표준 2 3 2 3 3 7" xfId="1892" xr:uid="{00000000-0005-0000-0000-000069030000}"/>
    <cellStyle name="표준 2 3 2 3 3 8" xfId="2582" xr:uid="{00000000-0005-0000-0000-00006A030000}"/>
    <cellStyle name="표준 2 3 2 3 4" xfId="215" xr:uid="{00000000-0005-0000-0000-00006B030000}"/>
    <cellStyle name="표준 2 3 2 3 4 2" xfId="707" xr:uid="{00000000-0005-0000-0000-00006C030000}"/>
    <cellStyle name="표준 2 3 2 3 4 3" xfId="1239" xr:uid="{00000000-0005-0000-0000-00006D030000}"/>
    <cellStyle name="표준 2 3 2 3 4 4" xfId="1547" xr:uid="{00000000-0005-0000-0000-00006E030000}"/>
    <cellStyle name="표준 2 3 2 3 4 5" xfId="1853" xr:uid="{00000000-0005-0000-0000-00006F030000}"/>
    <cellStyle name="표준 2 3 2 3 5" xfId="313" xr:uid="{00000000-0005-0000-0000-000070030000}"/>
    <cellStyle name="표준 2 3 2 3 5 2" xfId="845" xr:uid="{00000000-0005-0000-0000-000071030000}"/>
    <cellStyle name="표준 2 3 2 3 5 3" xfId="1378" xr:uid="{00000000-0005-0000-0000-000072030000}"/>
    <cellStyle name="표준 2 3 2 3 5 4" xfId="1686" xr:uid="{00000000-0005-0000-0000-000073030000}"/>
    <cellStyle name="표준 2 3 2 3 5 5" xfId="1970" xr:uid="{00000000-0005-0000-0000-000074030000}"/>
    <cellStyle name="표준 2 3 2 3 6" xfId="665" xr:uid="{00000000-0005-0000-0000-000075030000}"/>
    <cellStyle name="표준 2 3 2 3 6 2" xfId="2092" xr:uid="{00000000-0005-0000-0000-000076030000}"/>
    <cellStyle name="표준 2 3 2 3 7" xfId="971" xr:uid="{00000000-0005-0000-0000-000077030000}"/>
    <cellStyle name="표준 2 3 2 3 7 2" xfId="2314" xr:uid="{00000000-0005-0000-0000-000078030000}"/>
    <cellStyle name="표준 2 3 2 3 8" xfId="439" xr:uid="{00000000-0005-0000-0000-000079030000}"/>
    <cellStyle name="표준 2 3 2 3 9" xfId="1197" xr:uid="{00000000-0005-0000-0000-00007A030000}"/>
    <cellStyle name="표준 2 3 2 4" xfId="56" xr:uid="{00000000-0005-0000-0000-00007B030000}"/>
    <cellStyle name="표준 2 3 2 4 2" xfId="343" xr:uid="{00000000-0005-0000-0000-00007C030000}"/>
    <cellStyle name="표준 2 3 2 4 2 2" xfId="875" xr:uid="{00000000-0005-0000-0000-00007D030000}"/>
    <cellStyle name="표준 2 3 2 4 2 2 2" xfId="2217" xr:uid="{00000000-0005-0000-0000-00007E030000}"/>
    <cellStyle name="표준 2 3 2 4 2 3" xfId="1114" xr:uid="{00000000-0005-0000-0000-00007F030000}"/>
    <cellStyle name="표준 2 3 2 4 2 3 2" xfId="2456" xr:uid="{00000000-0005-0000-0000-000080030000}"/>
    <cellStyle name="표준 2 3 2 4 2 4" xfId="582" xr:uid="{00000000-0005-0000-0000-000081030000}"/>
    <cellStyle name="표준 2 3 2 4 2 5" xfId="1408" xr:uid="{00000000-0005-0000-0000-000082030000}"/>
    <cellStyle name="표준 2 3 2 4 2 6" xfId="1716" xr:uid="{00000000-0005-0000-0000-000083030000}"/>
    <cellStyle name="표준 2 3 2 4 2 7" xfId="1998" xr:uid="{00000000-0005-0000-0000-000084030000}"/>
    <cellStyle name="표준 2 3 2 4 3" xfId="777" xr:uid="{00000000-0005-0000-0000-000085030000}"/>
    <cellStyle name="표준 2 3 2 4 3 2" xfId="2176" xr:uid="{00000000-0005-0000-0000-000086030000}"/>
    <cellStyle name="표준 2 3 2 4 4" xfId="1001" xr:uid="{00000000-0005-0000-0000-000087030000}"/>
    <cellStyle name="표준 2 3 2 4 4 2" xfId="2344" xr:uid="{00000000-0005-0000-0000-000088030000}"/>
    <cellStyle name="표준 2 3 2 4 5" xfId="469" xr:uid="{00000000-0005-0000-0000-000089030000}"/>
    <cellStyle name="표준 2 3 2 4 6" xfId="1309" xr:uid="{00000000-0005-0000-0000-00008A030000}"/>
    <cellStyle name="표준 2 3 2 4 7" xfId="1617" xr:uid="{00000000-0005-0000-0000-00008B030000}"/>
    <cellStyle name="표준 2 3 2 4 8" xfId="1917" xr:uid="{00000000-0005-0000-0000-00008C030000}"/>
    <cellStyle name="표준 2 3 2 4 9" xfId="2583" xr:uid="{00000000-0005-0000-0000-00008D030000}"/>
    <cellStyle name="표준 2 3 2 5" xfId="71" xr:uid="{00000000-0005-0000-0000-00008E030000}"/>
    <cellStyle name="표준 2 3 2 5 2" xfId="358" xr:uid="{00000000-0005-0000-0000-00008F030000}"/>
    <cellStyle name="표준 2 3 2 5 2 2" xfId="890" xr:uid="{00000000-0005-0000-0000-000090030000}"/>
    <cellStyle name="표준 2 3 2 5 2 2 2" xfId="2232" xr:uid="{00000000-0005-0000-0000-000091030000}"/>
    <cellStyle name="표준 2 3 2 5 2 3" xfId="1129" xr:uid="{00000000-0005-0000-0000-000092030000}"/>
    <cellStyle name="표준 2 3 2 5 2 3 2" xfId="2471" xr:uid="{00000000-0005-0000-0000-000093030000}"/>
    <cellStyle name="표준 2 3 2 5 2 4" xfId="597" xr:uid="{00000000-0005-0000-0000-000094030000}"/>
    <cellStyle name="표준 2 3 2 5 2 5" xfId="1423" xr:uid="{00000000-0005-0000-0000-000095030000}"/>
    <cellStyle name="표준 2 3 2 5 2 6" xfId="1731" xr:uid="{00000000-0005-0000-0000-000096030000}"/>
    <cellStyle name="표준 2 3 2 5 2 7" xfId="2012" xr:uid="{00000000-0005-0000-0000-000097030000}"/>
    <cellStyle name="표준 2 3 2 5 3" xfId="736" xr:uid="{00000000-0005-0000-0000-000098030000}"/>
    <cellStyle name="표준 2 3 2 5 3 2" xfId="2137" xr:uid="{00000000-0005-0000-0000-000099030000}"/>
    <cellStyle name="표준 2 3 2 5 4" xfId="1016" xr:uid="{00000000-0005-0000-0000-00009A030000}"/>
    <cellStyle name="표준 2 3 2 5 4 2" xfId="2359" xr:uid="{00000000-0005-0000-0000-00009B030000}"/>
    <cellStyle name="표준 2 3 2 5 5" xfId="484" xr:uid="{00000000-0005-0000-0000-00009C030000}"/>
    <cellStyle name="표준 2 3 2 5 6" xfId="1268" xr:uid="{00000000-0005-0000-0000-00009D030000}"/>
    <cellStyle name="표준 2 3 2 5 7" xfId="1576" xr:uid="{00000000-0005-0000-0000-00009E030000}"/>
    <cellStyle name="표준 2 3 2 5 8" xfId="1881" xr:uid="{00000000-0005-0000-0000-00009F030000}"/>
    <cellStyle name="표준 2 3 2 5 9" xfId="2584" xr:uid="{00000000-0005-0000-0000-0000A0030000}"/>
    <cellStyle name="표준 2 3 2 6" xfId="86" xr:uid="{00000000-0005-0000-0000-0000A1030000}"/>
    <cellStyle name="표준 2 3 2 6 2" xfId="373" xr:uid="{00000000-0005-0000-0000-0000A2030000}"/>
    <cellStyle name="표준 2 3 2 6 2 2" xfId="905" xr:uid="{00000000-0005-0000-0000-0000A3030000}"/>
    <cellStyle name="표준 2 3 2 6 2 2 2" xfId="2247" xr:uid="{00000000-0005-0000-0000-0000A4030000}"/>
    <cellStyle name="표준 2 3 2 6 2 3" xfId="1144" xr:uid="{00000000-0005-0000-0000-0000A5030000}"/>
    <cellStyle name="표준 2 3 2 6 2 3 2" xfId="2486" xr:uid="{00000000-0005-0000-0000-0000A6030000}"/>
    <cellStyle name="표준 2 3 2 6 2 4" xfId="612" xr:uid="{00000000-0005-0000-0000-0000A7030000}"/>
    <cellStyle name="표준 2 3 2 6 2 5" xfId="1438" xr:uid="{00000000-0005-0000-0000-0000A8030000}"/>
    <cellStyle name="표준 2 3 2 6 2 6" xfId="1746" xr:uid="{00000000-0005-0000-0000-0000A9030000}"/>
    <cellStyle name="표준 2 3 2 6 2 7" xfId="2027" xr:uid="{00000000-0005-0000-0000-0000AA030000}"/>
    <cellStyle name="표준 2 3 2 6 3" xfId="695" xr:uid="{00000000-0005-0000-0000-0000AB030000}"/>
    <cellStyle name="표준 2 3 2 6 3 2" xfId="2122" xr:uid="{00000000-0005-0000-0000-0000AC030000}"/>
    <cellStyle name="표준 2 3 2 6 4" xfId="1031" xr:uid="{00000000-0005-0000-0000-0000AD030000}"/>
    <cellStyle name="표준 2 3 2 6 4 2" xfId="2374" xr:uid="{00000000-0005-0000-0000-0000AE030000}"/>
    <cellStyle name="표준 2 3 2 6 5" xfId="499" xr:uid="{00000000-0005-0000-0000-0000AF030000}"/>
    <cellStyle name="표준 2 3 2 6 6" xfId="1227" xr:uid="{00000000-0005-0000-0000-0000B0030000}"/>
    <cellStyle name="표준 2 3 2 6 7" xfId="1535" xr:uid="{00000000-0005-0000-0000-0000B1030000}"/>
    <cellStyle name="표준 2 3 2 6 8" xfId="1841" xr:uid="{00000000-0005-0000-0000-0000B2030000}"/>
    <cellStyle name="표준 2 3 2 6 9" xfId="2585" xr:uid="{00000000-0005-0000-0000-0000B3030000}"/>
    <cellStyle name="표준 2 3 2 7" xfId="412" xr:uid="{00000000-0005-0000-0000-0000B4030000}"/>
    <cellStyle name="표준 2 3 2 7 2" xfId="944" xr:uid="{00000000-0005-0000-0000-0000B5030000}"/>
    <cellStyle name="표준 2 3 2 7 2 2" xfId="2287" xr:uid="{00000000-0005-0000-0000-0000B6030000}"/>
    <cellStyle name="표준 2 3 2 7 3" xfId="1072" xr:uid="{00000000-0005-0000-0000-0000B7030000}"/>
    <cellStyle name="표준 2 3 2 7 3 2" xfId="2414" xr:uid="{00000000-0005-0000-0000-0000B8030000}"/>
    <cellStyle name="표준 2 3 2 7 4" xfId="540" xr:uid="{00000000-0005-0000-0000-0000B9030000}"/>
    <cellStyle name="표준 2 3 2 7 5" xfId="1478" xr:uid="{00000000-0005-0000-0000-0000BA030000}"/>
    <cellStyle name="표준 2 3 2 7 6" xfId="1786" xr:uid="{00000000-0005-0000-0000-0000BB030000}"/>
    <cellStyle name="표준 2 3 2 7 7" xfId="2065" xr:uid="{00000000-0005-0000-0000-0000BC030000}"/>
    <cellStyle name="표준 2 3 2 7 8" xfId="2586" xr:uid="{00000000-0005-0000-0000-0000BD030000}"/>
    <cellStyle name="표준 2 3 2 8" xfId="301" xr:uid="{00000000-0005-0000-0000-0000BE030000}"/>
    <cellStyle name="표준 2 3 2 8 2" xfId="833" xr:uid="{00000000-0005-0000-0000-0000BF030000}"/>
    <cellStyle name="표준 2 3 2 8 3" xfId="1366" xr:uid="{00000000-0005-0000-0000-0000C0030000}"/>
    <cellStyle name="표준 2 3 2 8 4" xfId="1674" xr:uid="{00000000-0005-0000-0000-0000C1030000}"/>
    <cellStyle name="표준 2 3 2 8 5" xfId="1958" xr:uid="{00000000-0005-0000-0000-0000C2030000}"/>
    <cellStyle name="표준 2 3 2 8 6" xfId="2587" xr:uid="{00000000-0005-0000-0000-0000C3030000}"/>
    <cellStyle name="표준 2 3 2 9" xfId="286" xr:uid="{00000000-0005-0000-0000-0000C4030000}"/>
    <cellStyle name="표준 2 3 2 9 2" xfId="818" xr:uid="{00000000-0005-0000-0000-0000C5030000}"/>
    <cellStyle name="표준 2 3 2 9 3" xfId="1351" xr:uid="{00000000-0005-0000-0000-0000C6030000}"/>
    <cellStyle name="표준 2 3 2 9 4" xfId="1659" xr:uid="{00000000-0005-0000-0000-0000C7030000}"/>
    <cellStyle name="표준 2 3 2 9 5" xfId="1943" xr:uid="{00000000-0005-0000-0000-0000C8030000}"/>
    <cellStyle name="표준 2 3 3" xfId="10" xr:uid="{00000000-0005-0000-0000-0000C9030000}"/>
    <cellStyle name="표준 2 3 3 10" xfId="649" xr:uid="{00000000-0005-0000-0000-0000CA030000}"/>
    <cellStyle name="표준 2 3 3 10 2" xfId="2076" xr:uid="{00000000-0005-0000-0000-0000CB030000}"/>
    <cellStyle name="표준 2 3 3 11" xfId="955" xr:uid="{00000000-0005-0000-0000-0000CC030000}"/>
    <cellStyle name="표준 2 3 3 11 2" xfId="2298" xr:uid="{00000000-0005-0000-0000-0000CD030000}"/>
    <cellStyle name="표준 2 3 3 12" xfId="423" xr:uid="{00000000-0005-0000-0000-0000CE030000}"/>
    <cellStyle name="표준 2 3 3 13" xfId="1181" xr:uid="{00000000-0005-0000-0000-0000CF030000}"/>
    <cellStyle name="표준 2 3 3 14" xfId="1489" xr:uid="{00000000-0005-0000-0000-0000D0030000}"/>
    <cellStyle name="표준 2 3 3 15" xfId="1797" xr:uid="{00000000-0005-0000-0000-0000D1030000}"/>
    <cellStyle name="표준 2 3 3 2" xfId="34" xr:uid="{00000000-0005-0000-0000-0000D2030000}"/>
    <cellStyle name="표준 2 3 3 2 10" xfId="1513" xr:uid="{00000000-0005-0000-0000-0000D3030000}"/>
    <cellStyle name="표준 2 3 3 2 11" xfId="1821" xr:uid="{00000000-0005-0000-0000-0000D4030000}"/>
    <cellStyle name="표준 2 3 3 2 2" xfId="109" xr:uid="{00000000-0005-0000-0000-0000D5030000}"/>
    <cellStyle name="표준 2 3 3 2 2 2" xfId="396" xr:uid="{00000000-0005-0000-0000-0000D6030000}"/>
    <cellStyle name="표준 2 3 3 2 2 2 2" xfId="928" xr:uid="{00000000-0005-0000-0000-0000D7030000}"/>
    <cellStyle name="표준 2 3 3 2 2 2 2 2" xfId="2270" xr:uid="{00000000-0005-0000-0000-0000D8030000}"/>
    <cellStyle name="표준 2 3 3 2 2 2 3" xfId="1167" xr:uid="{00000000-0005-0000-0000-0000D9030000}"/>
    <cellStyle name="표준 2 3 3 2 2 2 3 2" xfId="2509" xr:uid="{00000000-0005-0000-0000-0000DA030000}"/>
    <cellStyle name="표준 2 3 3 2 2 2 4" xfId="635" xr:uid="{00000000-0005-0000-0000-0000DB030000}"/>
    <cellStyle name="표준 2 3 3 2 2 2 5" xfId="1461" xr:uid="{00000000-0005-0000-0000-0000DC030000}"/>
    <cellStyle name="표준 2 3 3 2 2 2 6" xfId="1769" xr:uid="{00000000-0005-0000-0000-0000DD030000}"/>
    <cellStyle name="표준 2 3 3 2 2 2 7" xfId="2049" xr:uid="{00000000-0005-0000-0000-0000DE030000}"/>
    <cellStyle name="표준 2 3 3 2 2 3" xfId="797" xr:uid="{00000000-0005-0000-0000-0000DF030000}"/>
    <cellStyle name="표준 2 3 3 2 2 3 2" xfId="2196" xr:uid="{00000000-0005-0000-0000-0000E0030000}"/>
    <cellStyle name="표준 2 3 3 2 2 4" xfId="1054" xr:uid="{00000000-0005-0000-0000-0000E1030000}"/>
    <cellStyle name="표준 2 3 3 2 2 4 2" xfId="2397" xr:uid="{00000000-0005-0000-0000-0000E2030000}"/>
    <cellStyle name="표준 2 3 3 2 2 5" xfId="522" xr:uid="{00000000-0005-0000-0000-0000E3030000}"/>
    <cellStyle name="표준 2 3 3 2 2 6" xfId="1329" xr:uid="{00000000-0005-0000-0000-0000E4030000}"/>
    <cellStyle name="표준 2 3 3 2 2 7" xfId="1637" xr:uid="{00000000-0005-0000-0000-0000E5030000}"/>
    <cellStyle name="표준 2 3 3 2 2 8" xfId="267" xr:uid="{00000000-0005-0000-0000-0000E6030000}"/>
    <cellStyle name="표준 2 3 3 2 2 9" xfId="168" xr:uid="{00000000-0005-0000-0000-0000E7030000}"/>
    <cellStyle name="표준 2 3 3 2 3" xfId="248" xr:uid="{00000000-0005-0000-0000-0000E8030000}"/>
    <cellStyle name="표준 2 3 3 2 3 2" xfId="756" xr:uid="{00000000-0005-0000-0000-0000E9030000}"/>
    <cellStyle name="표준 2 3 3 2 3 2 2" xfId="2156" xr:uid="{00000000-0005-0000-0000-0000EA030000}"/>
    <cellStyle name="표준 2 3 3 2 3 3" xfId="1092" xr:uid="{00000000-0005-0000-0000-0000EB030000}"/>
    <cellStyle name="표준 2 3 3 2 3 3 2" xfId="2434" xr:uid="{00000000-0005-0000-0000-0000EC030000}"/>
    <cellStyle name="표준 2 3 3 2 3 4" xfId="560" xr:uid="{00000000-0005-0000-0000-0000ED030000}"/>
    <cellStyle name="표준 2 3 3 2 3 5" xfId="1288" xr:uid="{00000000-0005-0000-0000-0000EE030000}"/>
    <cellStyle name="표준 2 3 3 2 3 6" xfId="1596" xr:uid="{00000000-0005-0000-0000-0000EF030000}"/>
    <cellStyle name="표준 2 3 3 2 3 7" xfId="1900" xr:uid="{00000000-0005-0000-0000-0000F0030000}"/>
    <cellStyle name="표준 2 3 3 2 3 8" xfId="2588" xr:uid="{00000000-0005-0000-0000-0000F1030000}"/>
    <cellStyle name="표준 2 3 3 2 4" xfId="223" xr:uid="{00000000-0005-0000-0000-0000F2030000}"/>
    <cellStyle name="표준 2 3 3 2 4 2" xfId="715" xr:uid="{00000000-0005-0000-0000-0000F3030000}"/>
    <cellStyle name="표준 2 3 3 2 4 3" xfId="1247" xr:uid="{00000000-0005-0000-0000-0000F4030000}"/>
    <cellStyle name="표준 2 3 3 2 4 4" xfId="1555" xr:uid="{00000000-0005-0000-0000-0000F5030000}"/>
    <cellStyle name="표준 2 3 3 2 4 5" xfId="1860" xr:uid="{00000000-0005-0000-0000-0000F6030000}"/>
    <cellStyle name="표준 2 3 3 2 5" xfId="321" xr:uid="{00000000-0005-0000-0000-0000F7030000}"/>
    <cellStyle name="표준 2 3 3 2 5 2" xfId="853" xr:uid="{00000000-0005-0000-0000-0000F8030000}"/>
    <cellStyle name="표준 2 3 3 2 5 3" xfId="1386" xr:uid="{00000000-0005-0000-0000-0000F9030000}"/>
    <cellStyle name="표준 2 3 3 2 5 4" xfId="1694" xr:uid="{00000000-0005-0000-0000-0000FA030000}"/>
    <cellStyle name="표준 2 3 3 2 5 5" xfId="1978" xr:uid="{00000000-0005-0000-0000-0000FB030000}"/>
    <cellStyle name="표준 2 3 3 2 6" xfId="673" xr:uid="{00000000-0005-0000-0000-0000FC030000}"/>
    <cellStyle name="표준 2 3 3 2 6 2" xfId="2100" xr:uid="{00000000-0005-0000-0000-0000FD030000}"/>
    <cellStyle name="표준 2 3 3 2 7" xfId="979" xr:uid="{00000000-0005-0000-0000-0000FE030000}"/>
    <cellStyle name="표준 2 3 3 2 7 2" xfId="2322" xr:uid="{00000000-0005-0000-0000-0000FF030000}"/>
    <cellStyle name="표준 2 3 3 2 8" xfId="447" xr:uid="{00000000-0005-0000-0000-000000040000}"/>
    <cellStyle name="표준 2 3 3 2 9" xfId="1205" xr:uid="{00000000-0005-0000-0000-000001040000}"/>
    <cellStyle name="표준 2 3 3 3" xfId="22" xr:uid="{00000000-0005-0000-0000-000002040000}"/>
    <cellStyle name="표준 2 3 3 3 10" xfId="1501" xr:uid="{00000000-0005-0000-0000-000003040000}"/>
    <cellStyle name="표준 2 3 3 3 11" xfId="1809" xr:uid="{00000000-0005-0000-0000-000004040000}"/>
    <cellStyle name="표준 2 3 3 3 12" xfId="167" xr:uid="{00000000-0005-0000-0000-000005040000}"/>
    <cellStyle name="표준 2 3 3 3 2" xfId="97" xr:uid="{00000000-0005-0000-0000-000006040000}"/>
    <cellStyle name="표준 2 3 3 3 2 2" xfId="384" xr:uid="{00000000-0005-0000-0000-000007040000}"/>
    <cellStyle name="표준 2 3 3 3 2 2 2" xfId="916" xr:uid="{00000000-0005-0000-0000-000008040000}"/>
    <cellStyle name="표준 2 3 3 3 2 2 2 2" xfId="2258" xr:uid="{00000000-0005-0000-0000-000009040000}"/>
    <cellStyle name="표준 2 3 3 3 2 2 3" xfId="1155" xr:uid="{00000000-0005-0000-0000-00000A040000}"/>
    <cellStyle name="표준 2 3 3 3 2 2 3 2" xfId="2497" xr:uid="{00000000-0005-0000-0000-00000B040000}"/>
    <cellStyle name="표준 2 3 3 3 2 2 4" xfId="623" xr:uid="{00000000-0005-0000-0000-00000C040000}"/>
    <cellStyle name="표준 2 3 3 3 2 2 5" xfId="1449" xr:uid="{00000000-0005-0000-0000-00000D040000}"/>
    <cellStyle name="표준 2 3 3 3 2 2 6" xfId="1757" xr:uid="{00000000-0005-0000-0000-00000E040000}"/>
    <cellStyle name="표준 2 3 3 3 2 2 7" xfId="2037" xr:uid="{00000000-0005-0000-0000-00000F040000}"/>
    <cellStyle name="표준 2 3 3 3 2 3" xfId="785" xr:uid="{00000000-0005-0000-0000-000010040000}"/>
    <cellStyle name="표준 2 3 3 3 2 3 2" xfId="2184" xr:uid="{00000000-0005-0000-0000-000011040000}"/>
    <cellStyle name="표준 2 3 3 3 2 4" xfId="1042" xr:uid="{00000000-0005-0000-0000-000012040000}"/>
    <cellStyle name="표준 2 3 3 3 2 4 2" xfId="2385" xr:uid="{00000000-0005-0000-0000-000013040000}"/>
    <cellStyle name="표준 2 3 3 3 2 5" xfId="510" xr:uid="{00000000-0005-0000-0000-000014040000}"/>
    <cellStyle name="표준 2 3 3 3 2 6" xfId="1317" xr:uid="{00000000-0005-0000-0000-000015040000}"/>
    <cellStyle name="표준 2 3 3 3 2 7" xfId="1625" xr:uid="{00000000-0005-0000-0000-000016040000}"/>
    <cellStyle name="표준 2 3 3 3 2 8" xfId="1925" xr:uid="{00000000-0005-0000-0000-000017040000}"/>
    <cellStyle name="표준 2 3 3 3 2 9" xfId="2589" xr:uid="{00000000-0005-0000-0000-000018040000}"/>
    <cellStyle name="표준 2 3 3 3 3" xfId="237" xr:uid="{00000000-0005-0000-0000-000019040000}"/>
    <cellStyle name="표준 2 3 3 3 3 2" xfId="744" xr:uid="{00000000-0005-0000-0000-00001A040000}"/>
    <cellStyle name="표준 2 3 3 3 3 2 2" xfId="2145" xr:uid="{00000000-0005-0000-0000-00001B040000}"/>
    <cellStyle name="표준 2 3 3 3 3 3" xfId="1080" xr:uid="{00000000-0005-0000-0000-00001C040000}"/>
    <cellStyle name="표준 2 3 3 3 3 3 2" xfId="2422" xr:uid="{00000000-0005-0000-0000-00001D040000}"/>
    <cellStyle name="표준 2 3 3 3 3 4" xfId="548" xr:uid="{00000000-0005-0000-0000-00001E040000}"/>
    <cellStyle name="표준 2 3 3 3 3 5" xfId="1276" xr:uid="{00000000-0005-0000-0000-00001F040000}"/>
    <cellStyle name="표준 2 3 3 3 3 6" xfId="1584" xr:uid="{00000000-0005-0000-0000-000020040000}"/>
    <cellStyle name="표준 2 3 3 3 3 7" xfId="1889" xr:uid="{00000000-0005-0000-0000-000021040000}"/>
    <cellStyle name="표준 2 3 3 3 3 8" xfId="2590" xr:uid="{00000000-0005-0000-0000-000022040000}"/>
    <cellStyle name="표준 2 3 3 3 4" xfId="212" xr:uid="{00000000-0005-0000-0000-000023040000}"/>
    <cellStyle name="표준 2 3 3 3 4 2" xfId="703" xr:uid="{00000000-0005-0000-0000-000024040000}"/>
    <cellStyle name="표준 2 3 3 3 4 3" xfId="1235" xr:uid="{00000000-0005-0000-0000-000025040000}"/>
    <cellStyle name="표준 2 3 3 3 4 4" xfId="1543" xr:uid="{00000000-0005-0000-0000-000026040000}"/>
    <cellStyle name="표준 2 3 3 3 4 5" xfId="1849" xr:uid="{00000000-0005-0000-0000-000027040000}"/>
    <cellStyle name="표준 2 3 3 3 5" xfId="309" xr:uid="{00000000-0005-0000-0000-000028040000}"/>
    <cellStyle name="표준 2 3 3 3 5 2" xfId="841" xr:uid="{00000000-0005-0000-0000-000029040000}"/>
    <cellStyle name="표준 2 3 3 3 5 3" xfId="1374" xr:uid="{00000000-0005-0000-0000-00002A040000}"/>
    <cellStyle name="표준 2 3 3 3 5 4" xfId="1682" xr:uid="{00000000-0005-0000-0000-00002B040000}"/>
    <cellStyle name="표준 2 3 3 3 5 5" xfId="1966" xr:uid="{00000000-0005-0000-0000-00002C040000}"/>
    <cellStyle name="표준 2 3 3 3 6" xfId="661" xr:uid="{00000000-0005-0000-0000-00002D040000}"/>
    <cellStyle name="표준 2 3 3 3 6 2" xfId="2088" xr:uid="{00000000-0005-0000-0000-00002E040000}"/>
    <cellStyle name="표준 2 3 3 3 7" xfId="967" xr:uid="{00000000-0005-0000-0000-00002F040000}"/>
    <cellStyle name="표준 2 3 3 3 7 2" xfId="2310" xr:uid="{00000000-0005-0000-0000-000030040000}"/>
    <cellStyle name="표준 2 3 3 3 8" xfId="435" xr:uid="{00000000-0005-0000-0000-000031040000}"/>
    <cellStyle name="표준 2 3 3 3 9" xfId="1193" xr:uid="{00000000-0005-0000-0000-000032040000}"/>
    <cellStyle name="표준 2 3 3 4" xfId="52" xr:uid="{00000000-0005-0000-0000-000033040000}"/>
    <cellStyle name="표준 2 3 3 4 2" xfId="339" xr:uid="{00000000-0005-0000-0000-000034040000}"/>
    <cellStyle name="표준 2 3 3 4 2 2" xfId="871" xr:uid="{00000000-0005-0000-0000-000035040000}"/>
    <cellStyle name="표준 2 3 3 4 2 2 2" xfId="2213" xr:uid="{00000000-0005-0000-0000-000036040000}"/>
    <cellStyle name="표준 2 3 3 4 2 3" xfId="1110" xr:uid="{00000000-0005-0000-0000-000037040000}"/>
    <cellStyle name="표준 2 3 3 4 2 3 2" xfId="2452" xr:uid="{00000000-0005-0000-0000-000038040000}"/>
    <cellStyle name="표준 2 3 3 4 2 4" xfId="578" xr:uid="{00000000-0005-0000-0000-000039040000}"/>
    <cellStyle name="표준 2 3 3 4 2 5" xfId="1404" xr:uid="{00000000-0005-0000-0000-00003A040000}"/>
    <cellStyle name="표준 2 3 3 4 2 6" xfId="1712" xr:uid="{00000000-0005-0000-0000-00003B040000}"/>
    <cellStyle name="표준 2 3 3 4 2 7" xfId="1995" xr:uid="{00000000-0005-0000-0000-00003C040000}"/>
    <cellStyle name="표준 2 3 3 4 3" xfId="773" xr:uid="{00000000-0005-0000-0000-00003D040000}"/>
    <cellStyle name="표준 2 3 3 4 3 2" xfId="2172" xr:uid="{00000000-0005-0000-0000-00003E040000}"/>
    <cellStyle name="표준 2 3 3 4 4" xfId="997" xr:uid="{00000000-0005-0000-0000-00003F040000}"/>
    <cellStyle name="표준 2 3 3 4 4 2" xfId="2340" xr:uid="{00000000-0005-0000-0000-000040040000}"/>
    <cellStyle name="표준 2 3 3 4 5" xfId="465" xr:uid="{00000000-0005-0000-0000-000041040000}"/>
    <cellStyle name="표준 2 3 3 4 6" xfId="1305" xr:uid="{00000000-0005-0000-0000-000042040000}"/>
    <cellStyle name="표준 2 3 3 4 7" xfId="1613" xr:uid="{00000000-0005-0000-0000-000043040000}"/>
    <cellStyle name="표준 2 3 3 4 8" xfId="1914" xr:uid="{00000000-0005-0000-0000-000044040000}"/>
    <cellStyle name="표준 2 3 3 4 9" xfId="2591" xr:uid="{00000000-0005-0000-0000-000045040000}"/>
    <cellStyle name="표준 2 3 3 5" xfId="67" xr:uid="{00000000-0005-0000-0000-000046040000}"/>
    <cellStyle name="표준 2 3 3 5 2" xfId="354" xr:uid="{00000000-0005-0000-0000-000047040000}"/>
    <cellStyle name="표준 2 3 3 5 2 2" xfId="886" xr:uid="{00000000-0005-0000-0000-000048040000}"/>
    <cellStyle name="표준 2 3 3 5 2 2 2" xfId="2228" xr:uid="{00000000-0005-0000-0000-000049040000}"/>
    <cellStyle name="표준 2 3 3 5 2 3" xfId="1125" xr:uid="{00000000-0005-0000-0000-00004A040000}"/>
    <cellStyle name="표준 2 3 3 5 2 3 2" xfId="2467" xr:uid="{00000000-0005-0000-0000-00004B040000}"/>
    <cellStyle name="표준 2 3 3 5 2 4" xfId="593" xr:uid="{00000000-0005-0000-0000-00004C040000}"/>
    <cellStyle name="표준 2 3 3 5 2 5" xfId="1419" xr:uid="{00000000-0005-0000-0000-00004D040000}"/>
    <cellStyle name="표준 2 3 3 5 2 6" xfId="1727" xr:uid="{00000000-0005-0000-0000-00004E040000}"/>
    <cellStyle name="표준 2 3 3 5 2 7" xfId="2008" xr:uid="{00000000-0005-0000-0000-00004F040000}"/>
    <cellStyle name="표준 2 3 3 5 3" xfId="732" xr:uid="{00000000-0005-0000-0000-000050040000}"/>
    <cellStyle name="표준 2 3 3 5 3 2" xfId="2133" xr:uid="{00000000-0005-0000-0000-000051040000}"/>
    <cellStyle name="표준 2 3 3 5 4" xfId="1012" xr:uid="{00000000-0005-0000-0000-000052040000}"/>
    <cellStyle name="표준 2 3 3 5 4 2" xfId="2355" xr:uid="{00000000-0005-0000-0000-000053040000}"/>
    <cellStyle name="표준 2 3 3 5 5" xfId="480" xr:uid="{00000000-0005-0000-0000-000054040000}"/>
    <cellStyle name="표준 2 3 3 5 6" xfId="1264" xr:uid="{00000000-0005-0000-0000-000055040000}"/>
    <cellStyle name="표준 2 3 3 5 7" xfId="1572" xr:uid="{00000000-0005-0000-0000-000056040000}"/>
    <cellStyle name="표준 2 3 3 5 8" xfId="1877" xr:uid="{00000000-0005-0000-0000-000057040000}"/>
    <cellStyle name="표준 2 3 3 5 9" xfId="2592" xr:uid="{00000000-0005-0000-0000-000058040000}"/>
    <cellStyle name="표준 2 3 3 6" xfId="82" xr:uid="{00000000-0005-0000-0000-000059040000}"/>
    <cellStyle name="표준 2 3 3 6 2" xfId="369" xr:uid="{00000000-0005-0000-0000-00005A040000}"/>
    <cellStyle name="표준 2 3 3 6 2 2" xfId="901" xr:uid="{00000000-0005-0000-0000-00005B040000}"/>
    <cellStyle name="표준 2 3 3 6 2 2 2" xfId="2243" xr:uid="{00000000-0005-0000-0000-00005C040000}"/>
    <cellStyle name="표준 2 3 3 6 2 3" xfId="1140" xr:uid="{00000000-0005-0000-0000-00005D040000}"/>
    <cellStyle name="표준 2 3 3 6 2 3 2" xfId="2482" xr:uid="{00000000-0005-0000-0000-00005E040000}"/>
    <cellStyle name="표준 2 3 3 6 2 4" xfId="608" xr:uid="{00000000-0005-0000-0000-00005F040000}"/>
    <cellStyle name="표준 2 3 3 6 2 5" xfId="1434" xr:uid="{00000000-0005-0000-0000-000060040000}"/>
    <cellStyle name="표준 2 3 3 6 2 6" xfId="1742" xr:uid="{00000000-0005-0000-0000-000061040000}"/>
    <cellStyle name="표준 2 3 3 6 2 7" xfId="2023" xr:uid="{00000000-0005-0000-0000-000062040000}"/>
    <cellStyle name="표준 2 3 3 6 3" xfId="691" xr:uid="{00000000-0005-0000-0000-000063040000}"/>
    <cellStyle name="표준 2 3 3 6 3 2" xfId="2118" xr:uid="{00000000-0005-0000-0000-000064040000}"/>
    <cellStyle name="표준 2 3 3 6 4" xfId="1027" xr:uid="{00000000-0005-0000-0000-000065040000}"/>
    <cellStyle name="표준 2 3 3 6 4 2" xfId="2370" xr:uid="{00000000-0005-0000-0000-000066040000}"/>
    <cellStyle name="표준 2 3 3 6 5" xfId="495" xr:uid="{00000000-0005-0000-0000-000067040000}"/>
    <cellStyle name="표준 2 3 3 6 6" xfId="1223" xr:uid="{00000000-0005-0000-0000-000068040000}"/>
    <cellStyle name="표준 2 3 3 6 7" xfId="1531" xr:uid="{00000000-0005-0000-0000-000069040000}"/>
    <cellStyle name="표준 2 3 3 6 8" xfId="1837" xr:uid="{00000000-0005-0000-0000-00006A040000}"/>
    <cellStyle name="표준 2 3 3 6 9" xfId="2593" xr:uid="{00000000-0005-0000-0000-00006B040000}"/>
    <cellStyle name="표준 2 3 3 7" xfId="408" xr:uid="{00000000-0005-0000-0000-00006C040000}"/>
    <cellStyle name="표준 2 3 3 7 2" xfId="940" xr:uid="{00000000-0005-0000-0000-00006D040000}"/>
    <cellStyle name="표준 2 3 3 7 2 2" xfId="2283" xr:uid="{00000000-0005-0000-0000-00006E040000}"/>
    <cellStyle name="표준 2 3 3 7 3" xfId="1068" xr:uid="{00000000-0005-0000-0000-00006F040000}"/>
    <cellStyle name="표준 2 3 3 7 3 2" xfId="2410" xr:uid="{00000000-0005-0000-0000-000070040000}"/>
    <cellStyle name="표준 2 3 3 7 4" xfId="536" xr:uid="{00000000-0005-0000-0000-000071040000}"/>
    <cellStyle name="표준 2 3 3 7 5" xfId="1474" xr:uid="{00000000-0005-0000-0000-000072040000}"/>
    <cellStyle name="표준 2 3 3 7 6" xfId="1782" xr:uid="{00000000-0005-0000-0000-000073040000}"/>
    <cellStyle name="표준 2 3 3 7 7" xfId="2061" xr:uid="{00000000-0005-0000-0000-000074040000}"/>
    <cellStyle name="표준 2 3 3 7 8" xfId="2594" xr:uid="{00000000-0005-0000-0000-000075040000}"/>
    <cellStyle name="표준 2 3 3 8" xfId="297" xr:uid="{00000000-0005-0000-0000-000076040000}"/>
    <cellStyle name="표준 2 3 3 8 2" xfId="829" xr:uid="{00000000-0005-0000-0000-000077040000}"/>
    <cellStyle name="표준 2 3 3 8 3" xfId="1362" xr:uid="{00000000-0005-0000-0000-000078040000}"/>
    <cellStyle name="표준 2 3 3 8 4" xfId="1670" xr:uid="{00000000-0005-0000-0000-000079040000}"/>
    <cellStyle name="표준 2 3 3 8 5" xfId="1954" xr:uid="{00000000-0005-0000-0000-00007A040000}"/>
    <cellStyle name="표준 2 3 3 8 6" xfId="2595" xr:uid="{00000000-0005-0000-0000-00007B040000}"/>
    <cellStyle name="표준 2 3 3 9" xfId="282" xr:uid="{00000000-0005-0000-0000-00007C040000}"/>
    <cellStyle name="표준 2 3 3 9 2" xfId="814" xr:uid="{00000000-0005-0000-0000-00007D040000}"/>
    <cellStyle name="표준 2 3 3 9 3" xfId="1347" xr:uid="{00000000-0005-0000-0000-00007E040000}"/>
    <cellStyle name="표준 2 3 3 9 4" xfId="1655" xr:uid="{00000000-0005-0000-0000-00007F040000}"/>
    <cellStyle name="표준 2 3 3 9 5" xfId="1939" xr:uid="{00000000-0005-0000-0000-000080040000}"/>
    <cellStyle name="표준 2 3 4" xfId="31" xr:uid="{00000000-0005-0000-0000-000081040000}"/>
    <cellStyle name="표준 2 3 4 10" xfId="1510" xr:uid="{00000000-0005-0000-0000-000082040000}"/>
    <cellStyle name="표준 2 3 4 11" xfId="1818" xr:uid="{00000000-0005-0000-0000-000083040000}"/>
    <cellStyle name="표준 2 3 4 2" xfId="106" xr:uid="{00000000-0005-0000-0000-000084040000}"/>
    <cellStyle name="표준 2 3 4 2 2" xfId="393" xr:uid="{00000000-0005-0000-0000-000085040000}"/>
    <cellStyle name="표준 2 3 4 2 2 2" xfId="925" xr:uid="{00000000-0005-0000-0000-000086040000}"/>
    <cellStyle name="표준 2 3 4 2 2 2 2" xfId="2267" xr:uid="{00000000-0005-0000-0000-000087040000}"/>
    <cellStyle name="표준 2 3 4 2 2 3" xfId="1164" xr:uid="{00000000-0005-0000-0000-000088040000}"/>
    <cellStyle name="표준 2 3 4 2 2 3 2" xfId="2506" xr:uid="{00000000-0005-0000-0000-000089040000}"/>
    <cellStyle name="표준 2 3 4 2 2 4" xfId="632" xr:uid="{00000000-0005-0000-0000-00008A040000}"/>
    <cellStyle name="표준 2 3 4 2 2 5" xfId="1458" xr:uid="{00000000-0005-0000-0000-00008B040000}"/>
    <cellStyle name="표준 2 3 4 2 2 6" xfId="1766" xr:uid="{00000000-0005-0000-0000-00008C040000}"/>
    <cellStyle name="표준 2 3 4 2 2 7" xfId="2046" xr:uid="{00000000-0005-0000-0000-00008D040000}"/>
    <cellStyle name="표준 2 3 4 2 3" xfId="794" xr:uid="{00000000-0005-0000-0000-00008E040000}"/>
    <cellStyle name="표준 2 3 4 2 3 2" xfId="2193" xr:uid="{00000000-0005-0000-0000-00008F040000}"/>
    <cellStyle name="표준 2 3 4 2 4" xfId="1051" xr:uid="{00000000-0005-0000-0000-000090040000}"/>
    <cellStyle name="표준 2 3 4 2 4 2" xfId="2394" xr:uid="{00000000-0005-0000-0000-000091040000}"/>
    <cellStyle name="표준 2 3 4 2 5" xfId="519" xr:uid="{00000000-0005-0000-0000-000092040000}"/>
    <cellStyle name="표준 2 3 4 2 6" xfId="1326" xr:uid="{00000000-0005-0000-0000-000093040000}"/>
    <cellStyle name="표준 2 3 4 2 7" xfId="1634" xr:uid="{00000000-0005-0000-0000-000094040000}"/>
    <cellStyle name="표준 2 3 4 2 8" xfId="264" xr:uid="{00000000-0005-0000-0000-000095040000}"/>
    <cellStyle name="표준 2 3 4 2 9" xfId="169" xr:uid="{00000000-0005-0000-0000-000096040000}"/>
    <cellStyle name="표준 2 3 4 3" xfId="246" xr:uid="{00000000-0005-0000-0000-000097040000}"/>
    <cellStyle name="표준 2 3 4 3 2" xfId="753" xr:uid="{00000000-0005-0000-0000-000098040000}"/>
    <cellStyle name="표준 2 3 4 3 2 2" xfId="2154" xr:uid="{00000000-0005-0000-0000-000099040000}"/>
    <cellStyle name="표준 2 3 4 3 3" xfId="1089" xr:uid="{00000000-0005-0000-0000-00009A040000}"/>
    <cellStyle name="표준 2 3 4 3 3 2" xfId="2431" xr:uid="{00000000-0005-0000-0000-00009B040000}"/>
    <cellStyle name="표준 2 3 4 3 4" xfId="557" xr:uid="{00000000-0005-0000-0000-00009C040000}"/>
    <cellStyle name="표준 2 3 4 3 5" xfId="1285" xr:uid="{00000000-0005-0000-0000-00009D040000}"/>
    <cellStyle name="표준 2 3 4 3 6" xfId="1593" xr:uid="{00000000-0005-0000-0000-00009E040000}"/>
    <cellStyle name="표준 2 3 4 3 7" xfId="1897" xr:uid="{00000000-0005-0000-0000-00009F040000}"/>
    <cellStyle name="표준 2 3 4 3 8" xfId="2596" xr:uid="{00000000-0005-0000-0000-0000A0040000}"/>
    <cellStyle name="표준 2 3 4 4" xfId="220" xr:uid="{00000000-0005-0000-0000-0000A1040000}"/>
    <cellStyle name="표준 2 3 4 4 2" xfId="712" xr:uid="{00000000-0005-0000-0000-0000A2040000}"/>
    <cellStyle name="표준 2 3 4 4 3" xfId="1244" xr:uid="{00000000-0005-0000-0000-0000A3040000}"/>
    <cellStyle name="표준 2 3 4 4 4" xfId="1552" xr:uid="{00000000-0005-0000-0000-0000A4040000}"/>
    <cellStyle name="표준 2 3 4 4 5" xfId="1858" xr:uid="{00000000-0005-0000-0000-0000A5040000}"/>
    <cellStyle name="표준 2 3 4 5" xfId="318" xr:uid="{00000000-0005-0000-0000-0000A6040000}"/>
    <cellStyle name="표준 2 3 4 5 2" xfId="850" xr:uid="{00000000-0005-0000-0000-0000A7040000}"/>
    <cellStyle name="표준 2 3 4 5 3" xfId="1383" xr:uid="{00000000-0005-0000-0000-0000A8040000}"/>
    <cellStyle name="표준 2 3 4 5 4" xfId="1691" xr:uid="{00000000-0005-0000-0000-0000A9040000}"/>
    <cellStyle name="표준 2 3 4 5 5" xfId="1975" xr:uid="{00000000-0005-0000-0000-0000AA040000}"/>
    <cellStyle name="표준 2 3 4 6" xfId="670" xr:uid="{00000000-0005-0000-0000-0000AB040000}"/>
    <cellStyle name="표준 2 3 4 6 2" xfId="2097" xr:uid="{00000000-0005-0000-0000-0000AC040000}"/>
    <cellStyle name="표준 2 3 4 7" xfId="976" xr:uid="{00000000-0005-0000-0000-0000AD040000}"/>
    <cellStyle name="표준 2 3 4 7 2" xfId="2319" xr:uid="{00000000-0005-0000-0000-0000AE040000}"/>
    <cellStyle name="표준 2 3 4 8" xfId="444" xr:uid="{00000000-0005-0000-0000-0000AF040000}"/>
    <cellStyle name="표준 2 3 4 9" xfId="1202" xr:uid="{00000000-0005-0000-0000-0000B0040000}"/>
    <cellStyle name="표준 2 3 5" xfId="19" xr:uid="{00000000-0005-0000-0000-0000B1040000}"/>
    <cellStyle name="표준 2 3 5 10" xfId="1498" xr:uid="{00000000-0005-0000-0000-0000B2040000}"/>
    <cellStyle name="표준 2 3 5 11" xfId="1806" xr:uid="{00000000-0005-0000-0000-0000B3040000}"/>
    <cellStyle name="표준 2 3 5 12" xfId="2597" xr:uid="{00000000-0005-0000-0000-0000B4040000}"/>
    <cellStyle name="표준 2 3 5 2" xfId="94" xr:uid="{00000000-0005-0000-0000-0000B5040000}"/>
    <cellStyle name="표준 2 3 5 2 2" xfId="381" xr:uid="{00000000-0005-0000-0000-0000B6040000}"/>
    <cellStyle name="표준 2 3 5 2 2 2" xfId="913" xr:uid="{00000000-0005-0000-0000-0000B7040000}"/>
    <cellStyle name="표준 2 3 5 2 2 2 2" xfId="2255" xr:uid="{00000000-0005-0000-0000-0000B8040000}"/>
    <cellStyle name="표준 2 3 5 2 2 3" xfId="1152" xr:uid="{00000000-0005-0000-0000-0000B9040000}"/>
    <cellStyle name="표준 2 3 5 2 2 3 2" xfId="2494" xr:uid="{00000000-0005-0000-0000-0000BA040000}"/>
    <cellStyle name="표준 2 3 5 2 2 4" xfId="620" xr:uid="{00000000-0005-0000-0000-0000BB040000}"/>
    <cellStyle name="표준 2 3 5 2 2 5" xfId="1446" xr:uid="{00000000-0005-0000-0000-0000BC040000}"/>
    <cellStyle name="표준 2 3 5 2 2 6" xfId="1754" xr:uid="{00000000-0005-0000-0000-0000BD040000}"/>
    <cellStyle name="표준 2 3 5 2 2 7" xfId="2034" xr:uid="{00000000-0005-0000-0000-0000BE040000}"/>
    <cellStyle name="표준 2 3 5 2 3" xfId="782" xr:uid="{00000000-0005-0000-0000-0000BF040000}"/>
    <cellStyle name="표준 2 3 5 2 3 2" xfId="2181" xr:uid="{00000000-0005-0000-0000-0000C0040000}"/>
    <cellStyle name="표준 2 3 5 2 4" xfId="1039" xr:uid="{00000000-0005-0000-0000-0000C1040000}"/>
    <cellStyle name="표준 2 3 5 2 4 2" xfId="2382" xr:uid="{00000000-0005-0000-0000-0000C2040000}"/>
    <cellStyle name="표준 2 3 5 2 5" xfId="507" xr:uid="{00000000-0005-0000-0000-0000C3040000}"/>
    <cellStyle name="표준 2 3 5 2 6" xfId="1314" xr:uid="{00000000-0005-0000-0000-0000C4040000}"/>
    <cellStyle name="표준 2 3 5 2 7" xfId="1622" xr:uid="{00000000-0005-0000-0000-0000C5040000}"/>
    <cellStyle name="표준 2 3 5 2 8" xfId="1922" xr:uid="{00000000-0005-0000-0000-0000C6040000}"/>
    <cellStyle name="표준 2 3 5 2 9" xfId="2598" xr:uid="{00000000-0005-0000-0000-0000C7040000}"/>
    <cellStyle name="표준 2 3 5 3" xfId="234" xr:uid="{00000000-0005-0000-0000-0000C8040000}"/>
    <cellStyle name="표준 2 3 5 3 2" xfId="741" xr:uid="{00000000-0005-0000-0000-0000C9040000}"/>
    <cellStyle name="표준 2 3 5 3 2 2" xfId="2142" xr:uid="{00000000-0005-0000-0000-0000CA040000}"/>
    <cellStyle name="표준 2 3 5 3 3" xfId="1077" xr:uid="{00000000-0005-0000-0000-0000CB040000}"/>
    <cellStyle name="표준 2 3 5 3 3 2" xfId="2419" xr:uid="{00000000-0005-0000-0000-0000CC040000}"/>
    <cellStyle name="표준 2 3 5 3 4" xfId="545" xr:uid="{00000000-0005-0000-0000-0000CD040000}"/>
    <cellStyle name="표준 2 3 5 3 5" xfId="1273" xr:uid="{00000000-0005-0000-0000-0000CE040000}"/>
    <cellStyle name="표준 2 3 5 3 6" xfId="1581" xr:uid="{00000000-0005-0000-0000-0000CF040000}"/>
    <cellStyle name="표준 2 3 5 3 7" xfId="1886" xr:uid="{00000000-0005-0000-0000-0000D0040000}"/>
    <cellStyle name="표준 2 3 5 3 8" xfId="2599" xr:uid="{00000000-0005-0000-0000-0000D1040000}"/>
    <cellStyle name="표준 2 3 5 4" xfId="209" xr:uid="{00000000-0005-0000-0000-0000D2040000}"/>
    <cellStyle name="표준 2 3 5 4 2" xfId="700" xr:uid="{00000000-0005-0000-0000-0000D3040000}"/>
    <cellStyle name="표준 2 3 5 4 3" xfId="1232" xr:uid="{00000000-0005-0000-0000-0000D4040000}"/>
    <cellStyle name="표준 2 3 5 4 4" xfId="1540" xr:uid="{00000000-0005-0000-0000-0000D5040000}"/>
    <cellStyle name="표준 2 3 5 4 5" xfId="1846" xr:uid="{00000000-0005-0000-0000-0000D6040000}"/>
    <cellStyle name="표준 2 3 5 5" xfId="306" xr:uid="{00000000-0005-0000-0000-0000D7040000}"/>
    <cellStyle name="표준 2 3 5 5 2" xfId="838" xr:uid="{00000000-0005-0000-0000-0000D8040000}"/>
    <cellStyle name="표준 2 3 5 5 3" xfId="1371" xr:uid="{00000000-0005-0000-0000-0000D9040000}"/>
    <cellStyle name="표준 2 3 5 5 4" xfId="1679" xr:uid="{00000000-0005-0000-0000-0000DA040000}"/>
    <cellStyle name="표준 2 3 5 5 5" xfId="1963" xr:uid="{00000000-0005-0000-0000-0000DB040000}"/>
    <cellStyle name="표준 2 3 5 6" xfId="658" xr:uid="{00000000-0005-0000-0000-0000DC040000}"/>
    <cellStyle name="표준 2 3 5 6 2" xfId="2085" xr:uid="{00000000-0005-0000-0000-0000DD040000}"/>
    <cellStyle name="표준 2 3 5 7" xfId="964" xr:uid="{00000000-0005-0000-0000-0000DE040000}"/>
    <cellStyle name="표준 2 3 5 7 2" xfId="2307" xr:uid="{00000000-0005-0000-0000-0000DF040000}"/>
    <cellStyle name="표준 2 3 5 8" xfId="432" xr:uid="{00000000-0005-0000-0000-0000E0040000}"/>
    <cellStyle name="표준 2 3 5 9" xfId="1190" xr:uid="{00000000-0005-0000-0000-0000E1040000}"/>
    <cellStyle name="표준 2 3 6" xfId="49" xr:uid="{00000000-0005-0000-0000-0000E2040000}"/>
    <cellStyle name="표준 2 3 6 2" xfId="336" xr:uid="{00000000-0005-0000-0000-0000E3040000}"/>
    <cellStyle name="표준 2 3 6 2 2" xfId="868" xr:uid="{00000000-0005-0000-0000-0000E4040000}"/>
    <cellStyle name="표준 2 3 6 2 2 2" xfId="2210" xr:uid="{00000000-0005-0000-0000-0000E5040000}"/>
    <cellStyle name="표준 2 3 6 2 3" xfId="1107" xr:uid="{00000000-0005-0000-0000-0000E6040000}"/>
    <cellStyle name="표준 2 3 6 2 3 2" xfId="2449" xr:uid="{00000000-0005-0000-0000-0000E7040000}"/>
    <cellStyle name="표준 2 3 6 2 4" xfId="575" xr:uid="{00000000-0005-0000-0000-0000E8040000}"/>
    <cellStyle name="표준 2 3 6 2 5" xfId="1401" xr:uid="{00000000-0005-0000-0000-0000E9040000}"/>
    <cellStyle name="표준 2 3 6 2 6" xfId="1709" xr:uid="{00000000-0005-0000-0000-0000EA040000}"/>
    <cellStyle name="표준 2 3 6 2 7" xfId="1992" xr:uid="{00000000-0005-0000-0000-0000EB040000}"/>
    <cellStyle name="표준 2 3 6 2 8" xfId="2601" xr:uid="{00000000-0005-0000-0000-0000EC040000}"/>
    <cellStyle name="표준 2 3 6 3" xfId="770" xr:uid="{00000000-0005-0000-0000-0000ED040000}"/>
    <cellStyle name="표준 2 3 6 3 2" xfId="2169" xr:uid="{00000000-0005-0000-0000-0000EE040000}"/>
    <cellStyle name="표준 2 3 6 4" xfId="994" xr:uid="{00000000-0005-0000-0000-0000EF040000}"/>
    <cellStyle name="표준 2 3 6 4 2" xfId="2337" xr:uid="{00000000-0005-0000-0000-0000F0040000}"/>
    <cellStyle name="표준 2 3 6 5" xfId="462" xr:uid="{00000000-0005-0000-0000-0000F1040000}"/>
    <cellStyle name="표준 2 3 6 6" xfId="1302" xr:uid="{00000000-0005-0000-0000-0000F2040000}"/>
    <cellStyle name="표준 2 3 6 7" xfId="1610" xr:uid="{00000000-0005-0000-0000-0000F3040000}"/>
    <cellStyle name="표준 2 3 6 8" xfId="1913" xr:uid="{00000000-0005-0000-0000-0000F4040000}"/>
    <cellStyle name="표준 2 3 6 9" xfId="2600" xr:uid="{00000000-0005-0000-0000-0000F5040000}"/>
    <cellStyle name="표준 2 3 7" xfId="64" xr:uid="{00000000-0005-0000-0000-0000F6040000}"/>
    <cellStyle name="표준 2 3 7 2" xfId="351" xr:uid="{00000000-0005-0000-0000-0000F7040000}"/>
    <cellStyle name="표준 2 3 7 2 2" xfId="883" xr:uid="{00000000-0005-0000-0000-0000F8040000}"/>
    <cellStyle name="표준 2 3 7 2 2 2" xfId="2225" xr:uid="{00000000-0005-0000-0000-0000F9040000}"/>
    <cellStyle name="표준 2 3 7 2 3" xfId="1122" xr:uid="{00000000-0005-0000-0000-0000FA040000}"/>
    <cellStyle name="표준 2 3 7 2 3 2" xfId="2464" xr:uid="{00000000-0005-0000-0000-0000FB040000}"/>
    <cellStyle name="표준 2 3 7 2 4" xfId="590" xr:uid="{00000000-0005-0000-0000-0000FC040000}"/>
    <cellStyle name="표준 2 3 7 2 5" xfId="1416" xr:uid="{00000000-0005-0000-0000-0000FD040000}"/>
    <cellStyle name="표준 2 3 7 2 6" xfId="1724" xr:uid="{00000000-0005-0000-0000-0000FE040000}"/>
    <cellStyle name="표준 2 3 7 2 7" xfId="2006" xr:uid="{00000000-0005-0000-0000-0000FF040000}"/>
    <cellStyle name="표준 2 3 7 3" xfId="729" xr:uid="{00000000-0005-0000-0000-000000050000}"/>
    <cellStyle name="표준 2 3 7 3 2" xfId="2130" xr:uid="{00000000-0005-0000-0000-000001050000}"/>
    <cellStyle name="표준 2 3 7 4" xfId="1009" xr:uid="{00000000-0005-0000-0000-000002050000}"/>
    <cellStyle name="표준 2 3 7 4 2" xfId="2352" xr:uid="{00000000-0005-0000-0000-000003050000}"/>
    <cellStyle name="표준 2 3 7 5" xfId="477" xr:uid="{00000000-0005-0000-0000-000004050000}"/>
    <cellStyle name="표준 2 3 7 6" xfId="1261" xr:uid="{00000000-0005-0000-0000-000005050000}"/>
    <cellStyle name="표준 2 3 7 7" xfId="1569" xr:uid="{00000000-0005-0000-0000-000006050000}"/>
    <cellStyle name="표준 2 3 7 8" xfId="1874" xr:uid="{00000000-0005-0000-0000-000007050000}"/>
    <cellStyle name="표준 2 3 7 9" xfId="2602" xr:uid="{00000000-0005-0000-0000-000008050000}"/>
    <cellStyle name="표준 2 3 8" xfId="79" xr:uid="{00000000-0005-0000-0000-000009050000}"/>
    <cellStyle name="표준 2 3 8 2" xfId="366" xr:uid="{00000000-0005-0000-0000-00000A050000}"/>
    <cellStyle name="표준 2 3 8 2 2" xfId="898" xr:uid="{00000000-0005-0000-0000-00000B050000}"/>
    <cellStyle name="표준 2 3 8 2 2 2" xfId="2240" xr:uid="{00000000-0005-0000-0000-00000C050000}"/>
    <cellStyle name="표준 2 3 8 2 3" xfId="1137" xr:uid="{00000000-0005-0000-0000-00000D050000}"/>
    <cellStyle name="표준 2 3 8 2 3 2" xfId="2479" xr:uid="{00000000-0005-0000-0000-00000E050000}"/>
    <cellStyle name="표준 2 3 8 2 4" xfId="605" xr:uid="{00000000-0005-0000-0000-00000F050000}"/>
    <cellStyle name="표준 2 3 8 2 5" xfId="1431" xr:uid="{00000000-0005-0000-0000-000010050000}"/>
    <cellStyle name="표준 2 3 8 2 6" xfId="1739" xr:uid="{00000000-0005-0000-0000-000011050000}"/>
    <cellStyle name="표준 2 3 8 2 7" xfId="2020" xr:uid="{00000000-0005-0000-0000-000012050000}"/>
    <cellStyle name="표준 2 3 8 3" xfId="688" xr:uid="{00000000-0005-0000-0000-000013050000}"/>
    <cellStyle name="표준 2 3 8 3 2" xfId="2115" xr:uid="{00000000-0005-0000-0000-000014050000}"/>
    <cellStyle name="표준 2 3 8 4" xfId="1024" xr:uid="{00000000-0005-0000-0000-000015050000}"/>
    <cellStyle name="표준 2 3 8 4 2" xfId="2367" xr:uid="{00000000-0005-0000-0000-000016050000}"/>
    <cellStyle name="표준 2 3 8 5" xfId="492" xr:uid="{00000000-0005-0000-0000-000017050000}"/>
    <cellStyle name="표준 2 3 8 6" xfId="1220" xr:uid="{00000000-0005-0000-0000-000018050000}"/>
    <cellStyle name="표준 2 3 8 7" xfId="1528" xr:uid="{00000000-0005-0000-0000-000019050000}"/>
    <cellStyle name="표준 2 3 8 8" xfId="1835" xr:uid="{00000000-0005-0000-0000-00001A050000}"/>
    <cellStyle name="표준 2 3 8 9" xfId="2603" xr:uid="{00000000-0005-0000-0000-00001B050000}"/>
    <cellStyle name="표준 2 3 9" xfId="405" xr:uid="{00000000-0005-0000-0000-00001C050000}"/>
    <cellStyle name="표준 2 3 9 2" xfId="937" xr:uid="{00000000-0005-0000-0000-00001D050000}"/>
    <cellStyle name="표준 2 3 9 2 2" xfId="2280" xr:uid="{00000000-0005-0000-0000-00001E050000}"/>
    <cellStyle name="표준 2 3 9 3" xfId="1065" xr:uid="{00000000-0005-0000-0000-00001F050000}"/>
    <cellStyle name="표준 2 3 9 3 2" xfId="2407" xr:uid="{00000000-0005-0000-0000-000020050000}"/>
    <cellStyle name="표준 2 3 9 4" xfId="533" xr:uid="{00000000-0005-0000-0000-000021050000}"/>
    <cellStyle name="표준 2 3 9 5" xfId="1471" xr:uid="{00000000-0005-0000-0000-000022050000}"/>
    <cellStyle name="표준 2 3 9 6" xfId="1779" xr:uid="{00000000-0005-0000-0000-000023050000}"/>
    <cellStyle name="표준 2 3 9 7" xfId="2058" xr:uid="{00000000-0005-0000-0000-000024050000}"/>
    <cellStyle name="표준 2 3 9 8" xfId="2604" xr:uid="{00000000-0005-0000-0000-000025050000}"/>
    <cellStyle name="표준 2 4" xfId="12" xr:uid="{00000000-0005-0000-0000-000026050000}"/>
    <cellStyle name="표준 2 4 10" xfId="651" xr:uid="{00000000-0005-0000-0000-000027050000}"/>
    <cellStyle name="표준 2 4 10 2" xfId="2078" xr:uid="{00000000-0005-0000-0000-000028050000}"/>
    <cellStyle name="표준 2 4 11" xfId="957" xr:uid="{00000000-0005-0000-0000-000029050000}"/>
    <cellStyle name="표준 2 4 11 2" xfId="2300" xr:uid="{00000000-0005-0000-0000-00002A050000}"/>
    <cellStyle name="표준 2 4 12" xfId="425" xr:uid="{00000000-0005-0000-0000-00002B050000}"/>
    <cellStyle name="표준 2 4 13" xfId="1183" xr:uid="{00000000-0005-0000-0000-00002C050000}"/>
    <cellStyle name="표준 2 4 14" xfId="1491" xr:uid="{00000000-0005-0000-0000-00002D050000}"/>
    <cellStyle name="표준 2 4 15" xfId="1799" xr:uid="{00000000-0005-0000-0000-00002E050000}"/>
    <cellStyle name="표준 2 4 16" xfId="133" xr:uid="{00000000-0005-0000-0000-00002F050000}"/>
    <cellStyle name="표준 2 4 2" xfId="36" xr:uid="{00000000-0005-0000-0000-000030050000}"/>
    <cellStyle name="표준 2 4 2 10" xfId="1515" xr:uid="{00000000-0005-0000-0000-000031050000}"/>
    <cellStyle name="표준 2 4 2 11" xfId="1823" xr:uid="{00000000-0005-0000-0000-000032050000}"/>
    <cellStyle name="표준 2 4 2 2" xfId="111" xr:uid="{00000000-0005-0000-0000-000033050000}"/>
    <cellStyle name="표준 2 4 2 2 2" xfId="398" xr:uid="{00000000-0005-0000-0000-000034050000}"/>
    <cellStyle name="표준 2 4 2 2 2 2" xfId="930" xr:uid="{00000000-0005-0000-0000-000035050000}"/>
    <cellStyle name="표준 2 4 2 2 2 2 2" xfId="2272" xr:uid="{00000000-0005-0000-0000-000036050000}"/>
    <cellStyle name="표준 2 4 2 2 2 3" xfId="1169" xr:uid="{00000000-0005-0000-0000-000037050000}"/>
    <cellStyle name="표준 2 4 2 2 2 3 2" xfId="2511" xr:uid="{00000000-0005-0000-0000-000038050000}"/>
    <cellStyle name="표준 2 4 2 2 2 4" xfId="637" xr:uid="{00000000-0005-0000-0000-000039050000}"/>
    <cellStyle name="표준 2 4 2 2 2 5" xfId="1463" xr:uid="{00000000-0005-0000-0000-00003A050000}"/>
    <cellStyle name="표준 2 4 2 2 2 6" xfId="1771" xr:uid="{00000000-0005-0000-0000-00003B050000}"/>
    <cellStyle name="표준 2 4 2 2 2 7" xfId="2051" xr:uid="{00000000-0005-0000-0000-00003C050000}"/>
    <cellStyle name="표준 2 4 2 2 3" xfId="799" xr:uid="{00000000-0005-0000-0000-00003D050000}"/>
    <cellStyle name="표준 2 4 2 2 3 2" xfId="2198" xr:uid="{00000000-0005-0000-0000-00003E050000}"/>
    <cellStyle name="표준 2 4 2 2 4" xfId="1056" xr:uid="{00000000-0005-0000-0000-00003F050000}"/>
    <cellStyle name="표준 2 4 2 2 4 2" xfId="2399" xr:uid="{00000000-0005-0000-0000-000040050000}"/>
    <cellStyle name="표준 2 4 2 2 5" xfId="524" xr:uid="{00000000-0005-0000-0000-000041050000}"/>
    <cellStyle name="표준 2 4 2 2 6" xfId="1331" xr:uid="{00000000-0005-0000-0000-000042050000}"/>
    <cellStyle name="표준 2 4 2 2 7" xfId="1639" xr:uid="{00000000-0005-0000-0000-000043050000}"/>
    <cellStyle name="표준 2 4 2 2 8" xfId="269" xr:uid="{00000000-0005-0000-0000-000044050000}"/>
    <cellStyle name="표준 2 4 2 2 9" xfId="170" xr:uid="{00000000-0005-0000-0000-000045050000}"/>
    <cellStyle name="표준 2 4 2 3" xfId="250" xr:uid="{00000000-0005-0000-0000-000046050000}"/>
    <cellStyle name="표준 2 4 2 3 2" xfId="758" xr:uid="{00000000-0005-0000-0000-000047050000}"/>
    <cellStyle name="표준 2 4 2 3 2 2" xfId="2158" xr:uid="{00000000-0005-0000-0000-000048050000}"/>
    <cellStyle name="표준 2 4 2 3 3" xfId="1094" xr:uid="{00000000-0005-0000-0000-000049050000}"/>
    <cellStyle name="표준 2 4 2 3 3 2" xfId="2436" xr:uid="{00000000-0005-0000-0000-00004A050000}"/>
    <cellStyle name="표준 2 4 2 3 4" xfId="562" xr:uid="{00000000-0005-0000-0000-00004B050000}"/>
    <cellStyle name="표준 2 4 2 3 5" xfId="1290" xr:uid="{00000000-0005-0000-0000-00004C050000}"/>
    <cellStyle name="표준 2 4 2 3 6" xfId="1598" xr:uid="{00000000-0005-0000-0000-00004D050000}"/>
    <cellStyle name="표준 2 4 2 3 7" xfId="1902" xr:uid="{00000000-0005-0000-0000-00004E050000}"/>
    <cellStyle name="표준 2 4 2 3 8" xfId="2605" xr:uid="{00000000-0005-0000-0000-00004F050000}"/>
    <cellStyle name="표준 2 4 2 4" xfId="225" xr:uid="{00000000-0005-0000-0000-000050050000}"/>
    <cellStyle name="표준 2 4 2 4 2" xfId="717" xr:uid="{00000000-0005-0000-0000-000051050000}"/>
    <cellStyle name="표준 2 4 2 4 3" xfId="1249" xr:uid="{00000000-0005-0000-0000-000052050000}"/>
    <cellStyle name="표준 2 4 2 4 4" xfId="1557" xr:uid="{00000000-0005-0000-0000-000053050000}"/>
    <cellStyle name="표준 2 4 2 4 5" xfId="1862" xr:uid="{00000000-0005-0000-0000-000054050000}"/>
    <cellStyle name="표준 2 4 2 5" xfId="323" xr:uid="{00000000-0005-0000-0000-000055050000}"/>
    <cellStyle name="표준 2 4 2 5 2" xfId="855" xr:uid="{00000000-0005-0000-0000-000056050000}"/>
    <cellStyle name="표준 2 4 2 5 3" xfId="1388" xr:uid="{00000000-0005-0000-0000-000057050000}"/>
    <cellStyle name="표준 2 4 2 5 4" xfId="1696" xr:uid="{00000000-0005-0000-0000-000058050000}"/>
    <cellStyle name="표준 2 4 2 5 5" xfId="1980" xr:uid="{00000000-0005-0000-0000-000059050000}"/>
    <cellStyle name="표준 2 4 2 6" xfId="675" xr:uid="{00000000-0005-0000-0000-00005A050000}"/>
    <cellStyle name="표준 2 4 2 6 2" xfId="2102" xr:uid="{00000000-0005-0000-0000-00005B050000}"/>
    <cellStyle name="표준 2 4 2 7" xfId="981" xr:uid="{00000000-0005-0000-0000-00005C050000}"/>
    <cellStyle name="표준 2 4 2 7 2" xfId="2324" xr:uid="{00000000-0005-0000-0000-00005D050000}"/>
    <cellStyle name="표준 2 4 2 8" xfId="449" xr:uid="{00000000-0005-0000-0000-00005E050000}"/>
    <cellStyle name="표준 2 4 2 9" xfId="1207" xr:uid="{00000000-0005-0000-0000-00005F050000}"/>
    <cellStyle name="표준 2 4 3" xfId="24" xr:uid="{00000000-0005-0000-0000-000060050000}"/>
    <cellStyle name="표준 2 4 3 10" xfId="1503" xr:uid="{00000000-0005-0000-0000-000061050000}"/>
    <cellStyle name="표준 2 4 3 11" xfId="1811" xr:uid="{00000000-0005-0000-0000-000062050000}"/>
    <cellStyle name="표준 2 4 3 12" xfId="155" xr:uid="{00000000-0005-0000-0000-000063050000}"/>
    <cellStyle name="표준 2 4 3 13" xfId="2606" xr:uid="{00000000-0005-0000-0000-000064050000}"/>
    <cellStyle name="표준 2 4 3 2" xfId="99" xr:uid="{00000000-0005-0000-0000-000065050000}"/>
    <cellStyle name="표준 2 4 3 2 2" xfId="386" xr:uid="{00000000-0005-0000-0000-000066050000}"/>
    <cellStyle name="표준 2 4 3 2 2 2" xfId="918" xr:uid="{00000000-0005-0000-0000-000067050000}"/>
    <cellStyle name="표준 2 4 3 2 2 2 2" xfId="2260" xr:uid="{00000000-0005-0000-0000-000068050000}"/>
    <cellStyle name="표준 2 4 3 2 2 3" xfId="1157" xr:uid="{00000000-0005-0000-0000-000069050000}"/>
    <cellStyle name="표준 2 4 3 2 2 3 2" xfId="2499" xr:uid="{00000000-0005-0000-0000-00006A050000}"/>
    <cellStyle name="표준 2 4 3 2 2 4" xfId="625" xr:uid="{00000000-0005-0000-0000-00006B050000}"/>
    <cellStyle name="표준 2 4 3 2 2 5" xfId="1451" xr:uid="{00000000-0005-0000-0000-00006C050000}"/>
    <cellStyle name="표준 2 4 3 2 2 6" xfId="1759" xr:uid="{00000000-0005-0000-0000-00006D050000}"/>
    <cellStyle name="표준 2 4 3 2 2 7" xfId="2039" xr:uid="{00000000-0005-0000-0000-00006E050000}"/>
    <cellStyle name="표준 2 4 3 2 2 8" xfId="2608" xr:uid="{00000000-0005-0000-0000-00006F050000}"/>
    <cellStyle name="표준 2 4 3 2 3" xfId="787" xr:uid="{00000000-0005-0000-0000-000070050000}"/>
    <cellStyle name="표준 2 4 3 2 3 2" xfId="2186" xr:uid="{00000000-0005-0000-0000-000071050000}"/>
    <cellStyle name="표준 2 4 3 2 4" xfId="1044" xr:uid="{00000000-0005-0000-0000-000072050000}"/>
    <cellStyle name="표준 2 4 3 2 4 2" xfId="2387" xr:uid="{00000000-0005-0000-0000-000073050000}"/>
    <cellStyle name="표준 2 4 3 2 5" xfId="512" xr:uid="{00000000-0005-0000-0000-000074050000}"/>
    <cellStyle name="표준 2 4 3 2 6" xfId="1319" xr:uid="{00000000-0005-0000-0000-000075050000}"/>
    <cellStyle name="표준 2 4 3 2 7" xfId="1627" xr:uid="{00000000-0005-0000-0000-000076050000}"/>
    <cellStyle name="표준 2 4 3 2 8" xfId="1927" xr:uid="{00000000-0005-0000-0000-000077050000}"/>
    <cellStyle name="표준 2 4 3 2 9" xfId="2607" xr:uid="{00000000-0005-0000-0000-000078050000}"/>
    <cellStyle name="표준 2 4 3 3" xfId="202" xr:uid="{00000000-0005-0000-0000-000079050000}"/>
    <cellStyle name="표준 2 4 3 3 2" xfId="746" xr:uid="{00000000-0005-0000-0000-00007A050000}"/>
    <cellStyle name="표준 2 4 3 3 2 2" xfId="2147" xr:uid="{00000000-0005-0000-0000-00007B050000}"/>
    <cellStyle name="표준 2 4 3 3 3" xfId="1082" xr:uid="{00000000-0005-0000-0000-00007C050000}"/>
    <cellStyle name="표준 2 4 3 3 3 2" xfId="2424" xr:uid="{00000000-0005-0000-0000-00007D050000}"/>
    <cellStyle name="표준 2 4 3 3 4" xfId="550" xr:uid="{00000000-0005-0000-0000-00007E050000}"/>
    <cellStyle name="표준 2 4 3 3 5" xfId="1278" xr:uid="{00000000-0005-0000-0000-00007F050000}"/>
    <cellStyle name="표준 2 4 3 3 6" xfId="1586" xr:uid="{00000000-0005-0000-0000-000080050000}"/>
    <cellStyle name="표준 2 4 3 3 7" xfId="239" xr:uid="{00000000-0005-0000-0000-000081050000}"/>
    <cellStyle name="표준 2 4 3 4" xfId="199" xr:uid="{00000000-0005-0000-0000-000082050000}"/>
    <cellStyle name="표준 2 4 3 4 2" xfId="705" xr:uid="{00000000-0005-0000-0000-000083050000}"/>
    <cellStyle name="표준 2 4 3 4 3" xfId="1237" xr:uid="{00000000-0005-0000-0000-000084050000}"/>
    <cellStyle name="표준 2 4 3 4 4" xfId="1545" xr:uid="{00000000-0005-0000-0000-000085050000}"/>
    <cellStyle name="표준 2 4 3 4 5" xfId="1851" xr:uid="{00000000-0005-0000-0000-000086050000}"/>
    <cellStyle name="표준 2 4 3 4 6" xfId="2609" xr:uid="{00000000-0005-0000-0000-000087050000}"/>
    <cellStyle name="표준 2 4 3 5" xfId="311" xr:uid="{00000000-0005-0000-0000-000088050000}"/>
    <cellStyle name="표준 2 4 3 5 2" xfId="843" xr:uid="{00000000-0005-0000-0000-000089050000}"/>
    <cellStyle name="표준 2 4 3 5 3" xfId="1376" xr:uid="{00000000-0005-0000-0000-00008A050000}"/>
    <cellStyle name="표준 2 4 3 5 4" xfId="1684" xr:uid="{00000000-0005-0000-0000-00008B050000}"/>
    <cellStyle name="표준 2 4 3 5 5" xfId="1968" xr:uid="{00000000-0005-0000-0000-00008C050000}"/>
    <cellStyle name="표준 2 4 3 6" xfId="663" xr:uid="{00000000-0005-0000-0000-00008D050000}"/>
    <cellStyle name="표준 2 4 3 6 2" xfId="2090" xr:uid="{00000000-0005-0000-0000-00008E050000}"/>
    <cellStyle name="표준 2 4 3 7" xfId="969" xr:uid="{00000000-0005-0000-0000-00008F050000}"/>
    <cellStyle name="표준 2 4 3 7 2" xfId="2312" xr:uid="{00000000-0005-0000-0000-000090050000}"/>
    <cellStyle name="표준 2 4 3 8" xfId="437" xr:uid="{00000000-0005-0000-0000-000091050000}"/>
    <cellStyle name="표준 2 4 3 9" xfId="1195" xr:uid="{00000000-0005-0000-0000-000092050000}"/>
    <cellStyle name="표준 2 4 4" xfId="54" xr:uid="{00000000-0005-0000-0000-000093050000}"/>
    <cellStyle name="표준 2 4 4 2" xfId="200" xr:uid="{00000000-0005-0000-0000-000094050000}"/>
    <cellStyle name="표준 2 4 4 2 2" xfId="873" xr:uid="{00000000-0005-0000-0000-000095050000}"/>
    <cellStyle name="표준 2 4 4 2 2 2" xfId="2215" xr:uid="{00000000-0005-0000-0000-000096050000}"/>
    <cellStyle name="표준 2 4 4 2 3" xfId="1112" xr:uid="{00000000-0005-0000-0000-000097050000}"/>
    <cellStyle name="표준 2 4 4 2 3 2" xfId="2454" xr:uid="{00000000-0005-0000-0000-000098050000}"/>
    <cellStyle name="표준 2 4 4 2 4" xfId="580" xr:uid="{00000000-0005-0000-0000-000099050000}"/>
    <cellStyle name="표준 2 4 4 2 5" xfId="1406" xr:uid="{00000000-0005-0000-0000-00009A050000}"/>
    <cellStyle name="표준 2 4 4 2 6" xfId="1714" xr:uid="{00000000-0005-0000-0000-00009B050000}"/>
    <cellStyle name="표준 2 4 4 2 7" xfId="341" xr:uid="{00000000-0005-0000-0000-00009C050000}"/>
    <cellStyle name="표준 2 4 4 2 8" xfId="2610" xr:uid="{00000000-0005-0000-0000-00009D050000}"/>
    <cellStyle name="표준 2 4 4 3" xfId="775" xr:uid="{00000000-0005-0000-0000-00009E050000}"/>
    <cellStyle name="표준 2 4 4 3 2" xfId="2174" xr:uid="{00000000-0005-0000-0000-00009F050000}"/>
    <cellStyle name="표준 2 4 4 4" xfId="999" xr:uid="{00000000-0005-0000-0000-0000A0050000}"/>
    <cellStyle name="표준 2 4 4 4 2" xfId="2342" xr:uid="{00000000-0005-0000-0000-0000A1050000}"/>
    <cellStyle name="표준 2 4 4 5" xfId="467" xr:uid="{00000000-0005-0000-0000-0000A2050000}"/>
    <cellStyle name="표준 2 4 4 6" xfId="1307" xr:uid="{00000000-0005-0000-0000-0000A3050000}"/>
    <cellStyle name="표준 2 4 4 7" xfId="1615" xr:uid="{00000000-0005-0000-0000-0000A4050000}"/>
    <cellStyle name="표준 2 4 4 8" xfId="260" xr:uid="{00000000-0005-0000-0000-0000A5050000}"/>
    <cellStyle name="표준 2 4 4 9" xfId="171" xr:uid="{00000000-0005-0000-0000-0000A6050000}"/>
    <cellStyle name="표준 2 4 5" xfId="69" xr:uid="{00000000-0005-0000-0000-0000A7050000}"/>
    <cellStyle name="표준 2 4 5 2" xfId="356" xr:uid="{00000000-0005-0000-0000-0000A8050000}"/>
    <cellStyle name="표준 2 4 5 2 2" xfId="888" xr:uid="{00000000-0005-0000-0000-0000A9050000}"/>
    <cellStyle name="표준 2 4 5 2 2 2" xfId="2230" xr:uid="{00000000-0005-0000-0000-0000AA050000}"/>
    <cellStyle name="표준 2 4 5 2 3" xfId="1127" xr:uid="{00000000-0005-0000-0000-0000AB050000}"/>
    <cellStyle name="표준 2 4 5 2 3 2" xfId="2469" xr:uid="{00000000-0005-0000-0000-0000AC050000}"/>
    <cellStyle name="표준 2 4 5 2 4" xfId="595" xr:uid="{00000000-0005-0000-0000-0000AD050000}"/>
    <cellStyle name="표준 2 4 5 2 5" xfId="1421" xr:uid="{00000000-0005-0000-0000-0000AE050000}"/>
    <cellStyle name="표준 2 4 5 2 6" xfId="1729" xr:uid="{00000000-0005-0000-0000-0000AF050000}"/>
    <cellStyle name="표준 2 4 5 2 7" xfId="2010" xr:uid="{00000000-0005-0000-0000-0000B0050000}"/>
    <cellStyle name="표준 2 4 5 3" xfId="734" xr:uid="{00000000-0005-0000-0000-0000B1050000}"/>
    <cellStyle name="표준 2 4 5 3 2" xfId="2135" xr:uid="{00000000-0005-0000-0000-0000B2050000}"/>
    <cellStyle name="표준 2 4 5 4" xfId="1014" xr:uid="{00000000-0005-0000-0000-0000B3050000}"/>
    <cellStyle name="표준 2 4 5 4 2" xfId="2357" xr:uid="{00000000-0005-0000-0000-0000B4050000}"/>
    <cellStyle name="표준 2 4 5 5" xfId="482" xr:uid="{00000000-0005-0000-0000-0000B5050000}"/>
    <cellStyle name="표준 2 4 5 6" xfId="1266" xr:uid="{00000000-0005-0000-0000-0000B6050000}"/>
    <cellStyle name="표준 2 4 5 7" xfId="1574" xr:uid="{00000000-0005-0000-0000-0000B7050000}"/>
    <cellStyle name="표준 2 4 5 8" xfId="1879" xr:uid="{00000000-0005-0000-0000-0000B8050000}"/>
    <cellStyle name="표준 2 4 5 9" xfId="2611" xr:uid="{00000000-0005-0000-0000-0000B9050000}"/>
    <cellStyle name="표준 2 4 6" xfId="84" xr:uid="{00000000-0005-0000-0000-0000BA050000}"/>
    <cellStyle name="표준 2 4 6 2" xfId="371" xr:uid="{00000000-0005-0000-0000-0000BB050000}"/>
    <cellStyle name="표준 2 4 6 2 2" xfId="903" xr:uid="{00000000-0005-0000-0000-0000BC050000}"/>
    <cellStyle name="표준 2 4 6 2 2 2" xfId="2245" xr:uid="{00000000-0005-0000-0000-0000BD050000}"/>
    <cellStyle name="표준 2 4 6 2 3" xfId="1142" xr:uid="{00000000-0005-0000-0000-0000BE050000}"/>
    <cellStyle name="표준 2 4 6 2 3 2" xfId="2484" xr:uid="{00000000-0005-0000-0000-0000BF050000}"/>
    <cellStyle name="표준 2 4 6 2 4" xfId="610" xr:uid="{00000000-0005-0000-0000-0000C0050000}"/>
    <cellStyle name="표준 2 4 6 2 5" xfId="1436" xr:uid="{00000000-0005-0000-0000-0000C1050000}"/>
    <cellStyle name="표준 2 4 6 2 6" xfId="1744" xr:uid="{00000000-0005-0000-0000-0000C2050000}"/>
    <cellStyle name="표준 2 4 6 2 7" xfId="2025" xr:uid="{00000000-0005-0000-0000-0000C3050000}"/>
    <cellStyle name="표준 2 4 6 3" xfId="693" xr:uid="{00000000-0005-0000-0000-0000C4050000}"/>
    <cellStyle name="표준 2 4 6 3 2" xfId="2120" xr:uid="{00000000-0005-0000-0000-0000C5050000}"/>
    <cellStyle name="표준 2 4 6 4" xfId="1029" xr:uid="{00000000-0005-0000-0000-0000C6050000}"/>
    <cellStyle name="표준 2 4 6 4 2" xfId="2372" xr:uid="{00000000-0005-0000-0000-0000C7050000}"/>
    <cellStyle name="표준 2 4 6 5" xfId="497" xr:uid="{00000000-0005-0000-0000-0000C8050000}"/>
    <cellStyle name="표준 2 4 6 6" xfId="1225" xr:uid="{00000000-0005-0000-0000-0000C9050000}"/>
    <cellStyle name="표준 2 4 6 7" xfId="1533" xr:uid="{00000000-0005-0000-0000-0000CA050000}"/>
    <cellStyle name="표준 2 4 6 8" xfId="1839" xr:uid="{00000000-0005-0000-0000-0000CB050000}"/>
    <cellStyle name="표준 2 4 6 9" xfId="2612" xr:uid="{00000000-0005-0000-0000-0000CC050000}"/>
    <cellStyle name="표준 2 4 7" xfId="410" xr:uid="{00000000-0005-0000-0000-0000CD050000}"/>
    <cellStyle name="표준 2 4 7 2" xfId="942" xr:uid="{00000000-0005-0000-0000-0000CE050000}"/>
    <cellStyle name="표준 2 4 7 2 2" xfId="2285" xr:uid="{00000000-0005-0000-0000-0000CF050000}"/>
    <cellStyle name="표준 2 4 7 3" xfId="1070" xr:uid="{00000000-0005-0000-0000-0000D0050000}"/>
    <cellStyle name="표준 2 4 7 3 2" xfId="2412" xr:uid="{00000000-0005-0000-0000-0000D1050000}"/>
    <cellStyle name="표준 2 4 7 4" xfId="538" xr:uid="{00000000-0005-0000-0000-0000D2050000}"/>
    <cellStyle name="표준 2 4 7 5" xfId="1476" xr:uid="{00000000-0005-0000-0000-0000D3050000}"/>
    <cellStyle name="표준 2 4 7 6" xfId="1784" xr:uid="{00000000-0005-0000-0000-0000D4050000}"/>
    <cellStyle name="표준 2 4 7 7" xfId="2063" xr:uid="{00000000-0005-0000-0000-0000D5050000}"/>
    <cellStyle name="표준 2 4 7 8" xfId="2613" xr:uid="{00000000-0005-0000-0000-0000D6050000}"/>
    <cellStyle name="표준 2 4 8" xfId="299" xr:uid="{00000000-0005-0000-0000-0000D7050000}"/>
    <cellStyle name="표준 2 4 8 2" xfId="831" xr:uid="{00000000-0005-0000-0000-0000D8050000}"/>
    <cellStyle name="표준 2 4 8 3" xfId="1364" xr:uid="{00000000-0005-0000-0000-0000D9050000}"/>
    <cellStyle name="표준 2 4 8 4" xfId="1672" xr:uid="{00000000-0005-0000-0000-0000DA050000}"/>
    <cellStyle name="표준 2 4 8 5" xfId="1956" xr:uid="{00000000-0005-0000-0000-0000DB050000}"/>
    <cellStyle name="표준 2 4 8 6" xfId="2614" xr:uid="{00000000-0005-0000-0000-0000DC050000}"/>
    <cellStyle name="표준 2 4 9" xfId="284" xr:uid="{00000000-0005-0000-0000-0000DD050000}"/>
    <cellStyle name="표준 2 4 9 2" xfId="816" xr:uid="{00000000-0005-0000-0000-0000DE050000}"/>
    <cellStyle name="표준 2 4 9 3" xfId="1349" xr:uid="{00000000-0005-0000-0000-0000DF050000}"/>
    <cellStyle name="표준 2 4 9 4" xfId="1657" xr:uid="{00000000-0005-0000-0000-0000E0050000}"/>
    <cellStyle name="표준 2 4 9 5" xfId="1941" xr:uid="{00000000-0005-0000-0000-0000E1050000}"/>
    <cellStyle name="표준 2 5" xfId="9" xr:uid="{00000000-0005-0000-0000-0000E2050000}"/>
    <cellStyle name="표준 2 5 10" xfId="648" xr:uid="{00000000-0005-0000-0000-0000E3050000}"/>
    <cellStyle name="표준 2 5 10 2" xfId="2075" xr:uid="{00000000-0005-0000-0000-0000E4050000}"/>
    <cellStyle name="표준 2 5 11" xfId="954" xr:uid="{00000000-0005-0000-0000-0000E5050000}"/>
    <cellStyle name="표준 2 5 11 2" xfId="2297" xr:uid="{00000000-0005-0000-0000-0000E6050000}"/>
    <cellStyle name="표준 2 5 12" xfId="422" xr:uid="{00000000-0005-0000-0000-0000E7050000}"/>
    <cellStyle name="표준 2 5 13" xfId="1180" xr:uid="{00000000-0005-0000-0000-0000E8050000}"/>
    <cellStyle name="표준 2 5 14" xfId="1488" xr:uid="{00000000-0005-0000-0000-0000E9050000}"/>
    <cellStyle name="표준 2 5 15" xfId="1796" xr:uid="{00000000-0005-0000-0000-0000EA050000}"/>
    <cellStyle name="표준 2 5 2" xfId="33" xr:uid="{00000000-0005-0000-0000-0000EB050000}"/>
    <cellStyle name="표준 2 5 2 10" xfId="1512" xr:uid="{00000000-0005-0000-0000-0000EC050000}"/>
    <cellStyle name="표준 2 5 2 11" xfId="1820" xr:uid="{00000000-0005-0000-0000-0000ED050000}"/>
    <cellStyle name="표준 2 5 2 2" xfId="108" xr:uid="{00000000-0005-0000-0000-0000EE050000}"/>
    <cellStyle name="표준 2 5 2 2 2" xfId="395" xr:uid="{00000000-0005-0000-0000-0000EF050000}"/>
    <cellStyle name="표준 2 5 2 2 2 2" xfId="927" xr:uid="{00000000-0005-0000-0000-0000F0050000}"/>
    <cellStyle name="표준 2 5 2 2 2 2 2" xfId="2269" xr:uid="{00000000-0005-0000-0000-0000F1050000}"/>
    <cellStyle name="표준 2 5 2 2 2 3" xfId="1166" xr:uid="{00000000-0005-0000-0000-0000F2050000}"/>
    <cellStyle name="표준 2 5 2 2 2 3 2" xfId="2508" xr:uid="{00000000-0005-0000-0000-0000F3050000}"/>
    <cellStyle name="표준 2 5 2 2 2 4" xfId="634" xr:uid="{00000000-0005-0000-0000-0000F4050000}"/>
    <cellStyle name="표준 2 5 2 2 2 5" xfId="1460" xr:uid="{00000000-0005-0000-0000-0000F5050000}"/>
    <cellStyle name="표준 2 5 2 2 2 6" xfId="1768" xr:uid="{00000000-0005-0000-0000-0000F6050000}"/>
    <cellStyle name="표준 2 5 2 2 2 7" xfId="2048" xr:uid="{00000000-0005-0000-0000-0000F7050000}"/>
    <cellStyle name="표준 2 5 2 2 3" xfId="796" xr:uid="{00000000-0005-0000-0000-0000F8050000}"/>
    <cellStyle name="표준 2 5 2 2 3 2" xfId="2195" xr:uid="{00000000-0005-0000-0000-0000F9050000}"/>
    <cellStyle name="표준 2 5 2 2 4" xfId="1053" xr:uid="{00000000-0005-0000-0000-0000FA050000}"/>
    <cellStyle name="표준 2 5 2 2 4 2" xfId="2396" xr:uid="{00000000-0005-0000-0000-0000FB050000}"/>
    <cellStyle name="표준 2 5 2 2 5" xfId="521" xr:uid="{00000000-0005-0000-0000-0000FC050000}"/>
    <cellStyle name="표준 2 5 2 2 6" xfId="1328" xr:uid="{00000000-0005-0000-0000-0000FD050000}"/>
    <cellStyle name="표준 2 5 2 2 7" xfId="1636" xr:uid="{00000000-0005-0000-0000-0000FE050000}"/>
    <cellStyle name="표준 2 5 2 2 8" xfId="266" xr:uid="{00000000-0005-0000-0000-0000FF050000}"/>
    <cellStyle name="표준 2 5 2 2 9" xfId="173" xr:uid="{00000000-0005-0000-0000-000000060000}"/>
    <cellStyle name="표준 2 5 2 3" xfId="247" xr:uid="{00000000-0005-0000-0000-000001060000}"/>
    <cellStyle name="표준 2 5 2 3 2" xfId="755" xr:uid="{00000000-0005-0000-0000-000002060000}"/>
    <cellStyle name="표준 2 5 2 3 2 2" xfId="2155" xr:uid="{00000000-0005-0000-0000-000003060000}"/>
    <cellStyle name="표준 2 5 2 3 3" xfId="1091" xr:uid="{00000000-0005-0000-0000-000004060000}"/>
    <cellStyle name="표준 2 5 2 3 3 2" xfId="2433" xr:uid="{00000000-0005-0000-0000-000005060000}"/>
    <cellStyle name="표준 2 5 2 3 4" xfId="559" xr:uid="{00000000-0005-0000-0000-000006060000}"/>
    <cellStyle name="표준 2 5 2 3 5" xfId="1287" xr:uid="{00000000-0005-0000-0000-000007060000}"/>
    <cellStyle name="표준 2 5 2 3 6" xfId="1595" xr:uid="{00000000-0005-0000-0000-000008060000}"/>
    <cellStyle name="표준 2 5 2 3 7" xfId="1899" xr:uid="{00000000-0005-0000-0000-000009060000}"/>
    <cellStyle name="표준 2 5 2 3 8" xfId="2615" xr:uid="{00000000-0005-0000-0000-00000A060000}"/>
    <cellStyle name="표준 2 5 2 4" xfId="222" xr:uid="{00000000-0005-0000-0000-00000B060000}"/>
    <cellStyle name="표준 2 5 2 4 2" xfId="714" xr:uid="{00000000-0005-0000-0000-00000C060000}"/>
    <cellStyle name="표준 2 5 2 4 3" xfId="1246" xr:uid="{00000000-0005-0000-0000-00000D060000}"/>
    <cellStyle name="표준 2 5 2 4 4" xfId="1554" xr:uid="{00000000-0005-0000-0000-00000E060000}"/>
    <cellStyle name="표준 2 5 2 4 5" xfId="1859" xr:uid="{00000000-0005-0000-0000-00000F060000}"/>
    <cellStyle name="표준 2 5 2 5" xfId="320" xr:uid="{00000000-0005-0000-0000-000010060000}"/>
    <cellStyle name="표준 2 5 2 5 2" xfId="852" xr:uid="{00000000-0005-0000-0000-000011060000}"/>
    <cellStyle name="표준 2 5 2 5 3" xfId="1385" xr:uid="{00000000-0005-0000-0000-000012060000}"/>
    <cellStyle name="표준 2 5 2 5 4" xfId="1693" xr:uid="{00000000-0005-0000-0000-000013060000}"/>
    <cellStyle name="표준 2 5 2 5 5" xfId="1977" xr:uid="{00000000-0005-0000-0000-000014060000}"/>
    <cellStyle name="표준 2 5 2 6" xfId="672" xr:uid="{00000000-0005-0000-0000-000015060000}"/>
    <cellStyle name="표준 2 5 2 6 2" xfId="2099" xr:uid="{00000000-0005-0000-0000-000016060000}"/>
    <cellStyle name="표준 2 5 2 7" xfId="978" xr:uid="{00000000-0005-0000-0000-000017060000}"/>
    <cellStyle name="표준 2 5 2 7 2" xfId="2321" xr:uid="{00000000-0005-0000-0000-000018060000}"/>
    <cellStyle name="표준 2 5 2 8" xfId="446" xr:uid="{00000000-0005-0000-0000-000019060000}"/>
    <cellStyle name="표준 2 5 2 9" xfId="1204" xr:uid="{00000000-0005-0000-0000-00001A060000}"/>
    <cellStyle name="표준 2 5 3" xfId="21" xr:uid="{00000000-0005-0000-0000-00001B060000}"/>
    <cellStyle name="표준 2 5 3 10" xfId="1500" xr:uid="{00000000-0005-0000-0000-00001C060000}"/>
    <cellStyle name="표준 2 5 3 11" xfId="1808" xr:uid="{00000000-0005-0000-0000-00001D060000}"/>
    <cellStyle name="표준 2 5 3 12" xfId="172" xr:uid="{00000000-0005-0000-0000-00001E060000}"/>
    <cellStyle name="표준 2 5 3 2" xfId="96" xr:uid="{00000000-0005-0000-0000-00001F060000}"/>
    <cellStyle name="표준 2 5 3 2 2" xfId="383" xr:uid="{00000000-0005-0000-0000-000020060000}"/>
    <cellStyle name="표준 2 5 3 2 2 2" xfId="915" xr:uid="{00000000-0005-0000-0000-000021060000}"/>
    <cellStyle name="표준 2 5 3 2 2 2 2" xfId="2257" xr:uid="{00000000-0005-0000-0000-000022060000}"/>
    <cellStyle name="표준 2 5 3 2 2 3" xfId="1154" xr:uid="{00000000-0005-0000-0000-000023060000}"/>
    <cellStyle name="표준 2 5 3 2 2 3 2" xfId="2496" xr:uid="{00000000-0005-0000-0000-000024060000}"/>
    <cellStyle name="표준 2 5 3 2 2 4" xfId="622" xr:uid="{00000000-0005-0000-0000-000025060000}"/>
    <cellStyle name="표준 2 5 3 2 2 5" xfId="1448" xr:uid="{00000000-0005-0000-0000-000026060000}"/>
    <cellStyle name="표준 2 5 3 2 2 6" xfId="1756" xr:uid="{00000000-0005-0000-0000-000027060000}"/>
    <cellStyle name="표준 2 5 3 2 2 7" xfId="2036" xr:uid="{00000000-0005-0000-0000-000028060000}"/>
    <cellStyle name="표준 2 5 3 2 3" xfId="784" xr:uid="{00000000-0005-0000-0000-000029060000}"/>
    <cellStyle name="표준 2 5 3 2 3 2" xfId="2183" xr:uid="{00000000-0005-0000-0000-00002A060000}"/>
    <cellStyle name="표준 2 5 3 2 4" xfId="1041" xr:uid="{00000000-0005-0000-0000-00002B060000}"/>
    <cellStyle name="표준 2 5 3 2 4 2" xfId="2384" xr:uid="{00000000-0005-0000-0000-00002C060000}"/>
    <cellStyle name="표준 2 5 3 2 5" xfId="509" xr:uid="{00000000-0005-0000-0000-00002D060000}"/>
    <cellStyle name="표준 2 5 3 2 6" xfId="1316" xr:uid="{00000000-0005-0000-0000-00002E060000}"/>
    <cellStyle name="표준 2 5 3 2 7" xfId="1624" xr:uid="{00000000-0005-0000-0000-00002F060000}"/>
    <cellStyle name="표준 2 5 3 2 8" xfId="1924" xr:uid="{00000000-0005-0000-0000-000030060000}"/>
    <cellStyle name="표준 2 5 3 2 9" xfId="2616" xr:uid="{00000000-0005-0000-0000-000031060000}"/>
    <cellStyle name="표준 2 5 3 3" xfId="236" xr:uid="{00000000-0005-0000-0000-000032060000}"/>
    <cellStyle name="표준 2 5 3 3 2" xfId="743" xr:uid="{00000000-0005-0000-0000-000033060000}"/>
    <cellStyle name="표준 2 5 3 3 2 2" xfId="2144" xr:uid="{00000000-0005-0000-0000-000034060000}"/>
    <cellStyle name="표준 2 5 3 3 3" xfId="1079" xr:uid="{00000000-0005-0000-0000-000035060000}"/>
    <cellStyle name="표준 2 5 3 3 3 2" xfId="2421" xr:uid="{00000000-0005-0000-0000-000036060000}"/>
    <cellStyle name="표준 2 5 3 3 4" xfId="547" xr:uid="{00000000-0005-0000-0000-000037060000}"/>
    <cellStyle name="표준 2 5 3 3 5" xfId="1275" xr:uid="{00000000-0005-0000-0000-000038060000}"/>
    <cellStyle name="표준 2 5 3 3 6" xfId="1583" xr:uid="{00000000-0005-0000-0000-000039060000}"/>
    <cellStyle name="표준 2 5 3 3 7" xfId="1888" xr:uid="{00000000-0005-0000-0000-00003A060000}"/>
    <cellStyle name="표준 2 5 3 3 8" xfId="2617" xr:uid="{00000000-0005-0000-0000-00003B060000}"/>
    <cellStyle name="표준 2 5 3 4" xfId="211" xr:uid="{00000000-0005-0000-0000-00003C060000}"/>
    <cellStyle name="표준 2 5 3 4 2" xfId="702" xr:uid="{00000000-0005-0000-0000-00003D060000}"/>
    <cellStyle name="표준 2 5 3 4 3" xfId="1234" xr:uid="{00000000-0005-0000-0000-00003E060000}"/>
    <cellStyle name="표준 2 5 3 4 4" xfId="1542" xr:uid="{00000000-0005-0000-0000-00003F060000}"/>
    <cellStyle name="표준 2 5 3 4 5" xfId="1848" xr:uid="{00000000-0005-0000-0000-000040060000}"/>
    <cellStyle name="표준 2 5 3 5" xfId="308" xr:uid="{00000000-0005-0000-0000-000041060000}"/>
    <cellStyle name="표준 2 5 3 5 2" xfId="840" xr:uid="{00000000-0005-0000-0000-000042060000}"/>
    <cellStyle name="표준 2 5 3 5 3" xfId="1373" xr:uid="{00000000-0005-0000-0000-000043060000}"/>
    <cellStyle name="표준 2 5 3 5 4" xfId="1681" xr:uid="{00000000-0005-0000-0000-000044060000}"/>
    <cellStyle name="표준 2 5 3 5 5" xfId="1965" xr:uid="{00000000-0005-0000-0000-000045060000}"/>
    <cellStyle name="표준 2 5 3 6" xfId="660" xr:uid="{00000000-0005-0000-0000-000046060000}"/>
    <cellStyle name="표준 2 5 3 6 2" xfId="2087" xr:uid="{00000000-0005-0000-0000-000047060000}"/>
    <cellStyle name="표준 2 5 3 7" xfId="966" xr:uid="{00000000-0005-0000-0000-000048060000}"/>
    <cellStyle name="표준 2 5 3 7 2" xfId="2309" xr:uid="{00000000-0005-0000-0000-000049060000}"/>
    <cellStyle name="표준 2 5 3 8" xfId="434" xr:uid="{00000000-0005-0000-0000-00004A060000}"/>
    <cellStyle name="표준 2 5 3 9" xfId="1192" xr:uid="{00000000-0005-0000-0000-00004B060000}"/>
    <cellStyle name="표준 2 5 4" xfId="51" xr:uid="{00000000-0005-0000-0000-00004C060000}"/>
    <cellStyle name="표준 2 5 4 2" xfId="338" xr:uid="{00000000-0005-0000-0000-00004D060000}"/>
    <cellStyle name="표준 2 5 4 2 2" xfId="870" xr:uid="{00000000-0005-0000-0000-00004E060000}"/>
    <cellStyle name="표준 2 5 4 2 2 2" xfId="2212" xr:uid="{00000000-0005-0000-0000-00004F060000}"/>
    <cellStyle name="표준 2 5 4 2 3" xfId="1109" xr:uid="{00000000-0005-0000-0000-000050060000}"/>
    <cellStyle name="표준 2 5 4 2 3 2" xfId="2451" xr:uid="{00000000-0005-0000-0000-000051060000}"/>
    <cellStyle name="표준 2 5 4 2 4" xfId="577" xr:uid="{00000000-0005-0000-0000-000052060000}"/>
    <cellStyle name="표준 2 5 4 2 5" xfId="1403" xr:uid="{00000000-0005-0000-0000-000053060000}"/>
    <cellStyle name="표준 2 5 4 2 6" xfId="1711" xr:uid="{00000000-0005-0000-0000-000054060000}"/>
    <cellStyle name="표준 2 5 4 2 7" xfId="1994" xr:uid="{00000000-0005-0000-0000-000055060000}"/>
    <cellStyle name="표준 2 5 4 2 8" xfId="2618" xr:uid="{00000000-0005-0000-0000-000056060000}"/>
    <cellStyle name="표준 2 5 4 3" xfId="772" xr:uid="{00000000-0005-0000-0000-000057060000}"/>
    <cellStyle name="표준 2 5 4 3 2" xfId="2171" xr:uid="{00000000-0005-0000-0000-000058060000}"/>
    <cellStyle name="표준 2 5 4 4" xfId="996" xr:uid="{00000000-0005-0000-0000-000059060000}"/>
    <cellStyle name="표준 2 5 4 4 2" xfId="2339" xr:uid="{00000000-0005-0000-0000-00005A060000}"/>
    <cellStyle name="표준 2 5 4 5" xfId="464" xr:uid="{00000000-0005-0000-0000-00005B060000}"/>
    <cellStyle name="표준 2 5 4 6" xfId="1304" xr:uid="{00000000-0005-0000-0000-00005C060000}"/>
    <cellStyle name="표준 2 5 4 7" xfId="1612" xr:uid="{00000000-0005-0000-0000-00005D060000}"/>
    <cellStyle name="표준 2 5 4 8" xfId="259" xr:uid="{00000000-0005-0000-0000-00005E060000}"/>
    <cellStyle name="표준 2 5 4 9" xfId="201" xr:uid="{00000000-0005-0000-0000-00005F060000}"/>
    <cellStyle name="표준 2 5 5" xfId="66" xr:uid="{00000000-0005-0000-0000-000060060000}"/>
    <cellStyle name="표준 2 5 5 2" xfId="353" xr:uid="{00000000-0005-0000-0000-000061060000}"/>
    <cellStyle name="표준 2 5 5 2 2" xfId="885" xr:uid="{00000000-0005-0000-0000-000062060000}"/>
    <cellStyle name="표준 2 5 5 2 2 2" xfId="2227" xr:uid="{00000000-0005-0000-0000-000063060000}"/>
    <cellStyle name="표준 2 5 5 2 3" xfId="1124" xr:uid="{00000000-0005-0000-0000-000064060000}"/>
    <cellStyle name="표준 2 5 5 2 3 2" xfId="2466" xr:uid="{00000000-0005-0000-0000-000065060000}"/>
    <cellStyle name="표준 2 5 5 2 4" xfId="592" xr:uid="{00000000-0005-0000-0000-000066060000}"/>
    <cellStyle name="표준 2 5 5 2 5" xfId="1418" xr:uid="{00000000-0005-0000-0000-000067060000}"/>
    <cellStyle name="표준 2 5 5 2 6" xfId="1726" xr:uid="{00000000-0005-0000-0000-000068060000}"/>
    <cellStyle name="표준 2 5 5 2 7" xfId="2007" xr:uid="{00000000-0005-0000-0000-000069060000}"/>
    <cellStyle name="표준 2 5 5 3" xfId="731" xr:uid="{00000000-0005-0000-0000-00006A060000}"/>
    <cellStyle name="표준 2 5 5 3 2" xfId="2132" xr:uid="{00000000-0005-0000-0000-00006B060000}"/>
    <cellStyle name="표준 2 5 5 4" xfId="1011" xr:uid="{00000000-0005-0000-0000-00006C060000}"/>
    <cellStyle name="표준 2 5 5 4 2" xfId="2354" xr:uid="{00000000-0005-0000-0000-00006D060000}"/>
    <cellStyle name="표준 2 5 5 5" xfId="479" xr:uid="{00000000-0005-0000-0000-00006E060000}"/>
    <cellStyle name="표준 2 5 5 6" xfId="1263" xr:uid="{00000000-0005-0000-0000-00006F060000}"/>
    <cellStyle name="표준 2 5 5 7" xfId="1571" xr:uid="{00000000-0005-0000-0000-000070060000}"/>
    <cellStyle name="표준 2 5 5 8" xfId="1876" xr:uid="{00000000-0005-0000-0000-000071060000}"/>
    <cellStyle name="표준 2 5 5 9" xfId="2619" xr:uid="{00000000-0005-0000-0000-000072060000}"/>
    <cellStyle name="표준 2 5 6" xfId="81" xr:uid="{00000000-0005-0000-0000-000073060000}"/>
    <cellStyle name="표준 2 5 6 2" xfId="368" xr:uid="{00000000-0005-0000-0000-000074060000}"/>
    <cellStyle name="표준 2 5 6 2 2" xfId="900" xr:uid="{00000000-0005-0000-0000-000075060000}"/>
    <cellStyle name="표준 2 5 6 2 2 2" xfId="2242" xr:uid="{00000000-0005-0000-0000-000076060000}"/>
    <cellStyle name="표준 2 5 6 2 3" xfId="1139" xr:uid="{00000000-0005-0000-0000-000077060000}"/>
    <cellStyle name="표준 2 5 6 2 3 2" xfId="2481" xr:uid="{00000000-0005-0000-0000-000078060000}"/>
    <cellStyle name="표준 2 5 6 2 4" xfId="607" xr:uid="{00000000-0005-0000-0000-000079060000}"/>
    <cellStyle name="표준 2 5 6 2 5" xfId="1433" xr:uid="{00000000-0005-0000-0000-00007A060000}"/>
    <cellStyle name="표준 2 5 6 2 6" xfId="1741" xr:uid="{00000000-0005-0000-0000-00007B060000}"/>
    <cellStyle name="표준 2 5 6 2 7" xfId="2022" xr:uid="{00000000-0005-0000-0000-00007C060000}"/>
    <cellStyle name="표준 2 5 6 3" xfId="690" xr:uid="{00000000-0005-0000-0000-00007D060000}"/>
    <cellStyle name="표준 2 5 6 3 2" xfId="2117" xr:uid="{00000000-0005-0000-0000-00007E060000}"/>
    <cellStyle name="표준 2 5 6 4" xfId="1026" xr:uid="{00000000-0005-0000-0000-00007F060000}"/>
    <cellStyle name="표준 2 5 6 4 2" xfId="2369" xr:uid="{00000000-0005-0000-0000-000080060000}"/>
    <cellStyle name="표준 2 5 6 5" xfId="494" xr:uid="{00000000-0005-0000-0000-000081060000}"/>
    <cellStyle name="표준 2 5 6 6" xfId="1222" xr:uid="{00000000-0005-0000-0000-000082060000}"/>
    <cellStyle name="표준 2 5 6 7" xfId="1530" xr:uid="{00000000-0005-0000-0000-000083060000}"/>
    <cellStyle name="표준 2 5 6 8" xfId="1836" xr:uid="{00000000-0005-0000-0000-000084060000}"/>
    <cellStyle name="표준 2 5 6 9" xfId="2620" xr:uid="{00000000-0005-0000-0000-000085060000}"/>
    <cellStyle name="표준 2 5 7" xfId="407" xr:uid="{00000000-0005-0000-0000-000086060000}"/>
    <cellStyle name="표준 2 5 7 2" xfId="939" xr:uid="{00000000-0005-0000-0000-000087060000}"/>
    <cellStyle name="표준 2 5 7 2 2" xfId="2282" xr:uid="{00000000-0005-0000-0000-000088060000}"/>
    <cellStyle name="표준 2 5 7 3" xfId="1067" xr:uid="{00000000-0005-0000-0000-000089060000}"/>
    <cellStyle name="표준 2 5 7 3 2" xfId="2409" xr:uid="{00000000-0005-0000-0000-00008A060000}"/>
    <cellStyle name="표준 2 5 7 4" xfId="535" xr:uid="{00000000-0005-0000-0000-00008B060000}"/>
    <cellStyle name="표준 2 5 7 5" xfId="1473" xr:uid="{00000000-0005-0000-0000-00008C060000}"/>
    <cellStyle name="표준 2 5 7 6" xfId="1781" xr:uid="{00000000-0005-0000-0000-00008D060000}"/>
    <cellStyle name="표준 2 5 7 7" xfId="2060" xr:uid="{00000000-0005-0000-0000-00008E060000}"/>
    <cellStyle name="표준 2 5 7 8" xfId="2621" xr:uid="{00000000-0005-0000-0000-00008F060000}"/>
    <cellStyle name="표준 2 5 8" xfId="296" xr:uid="{00000000-0005-0000-0000-000090060000}"/>
    <cellStyle name="표준 2 5 8 2" xfId="828" xr:uid="{00000000-0005-0000-0000-000091060000}"/>
    <cellStyle name="표준 2 5 8 3" xfId="1361" xr:uid="{00000000-0005-0000-0000-000092060000}"/>
    <cellStyle name="표준 2 5 8 4" xfId="1669" xr:uid="{00000000-0005-0000-0000-000093060000}"/>
    <cellStyle name="표준 2 5 8 5" xfId="1953" xr:uid="{00000000-0005-0000-0000-000094060000}"/>
    <cellStyle name="표준 2 5 8 6" xfId="2622" xr:uid="{00000000-0005-0000-0000-000095060000}"/>
    <cellStyle name="표준 2 5 9" xfId="281" xr:uid="{00000000-0005-0000-0000-000096060000}"/>
    <cellStyle name="표준 2 5 9 2" xfId="813" xr:uid="{00000000-0005-0000-0000-000097060000}"/>
    <cellStyle name="표준 2 5 9 3" xfId="1346" xr:uid="{00000000-0005-0000-0000-000098060000}"/>
    <cellStyle name="표준 2 5 9 4" xfId="1654" xr:uid="{00000000-0005-0000-0000-000099060000}"/>
    <cellStyle name="표준 2 5 9 5" xfId="1938" xr:uid="{00000000-0005-0000-0000-00009A060000}"/>
    <cellStyle name="표준 2 6" xfId="41" xr:uid="{00000000-0005-0000-0000-00009B060000}"/>
    <cellStyle name="표준 2 6 10" xfId="454" xr:uid="{00000000-0005-0000-0000-00009C060000}"/>
    <cellStyle name="표준 2 6 11" xfId="1212" xr:uid="{00000000-0005-0000-0000-00009D060000}"/>
    <cellStyle name="표준 2 6 12" xfId="1520" xr:uid="{00000000-0005-0000-0000-00009E060000}"/>
    <cellStyle name="표준 2 6 13" xfId="1828" xr:uid="{00000000-0005-0000-0000-00009F060000}"/>
    <cellStyle name="표준 2 6 2" xfId="59" xr:uid="{00000000-0005-0000-0000-0000A0060000}"/>
    <cellStyle name="표준 2 6 2 2" xfId="346" xr:uid="{00000000-0005-0000-0000-0000A1060000}"/>
    <cellStyle name="표준 2 6 2 2 2" xfId="878" xr:uid="{00000000-0005-0000-0000-0000A2060000}"/>
    <cellStyle name="표준 2 6 2 2 2 2" xfId="2220" xr:uid="{00000000-0005-0000-0000-0000A3060000}"/>
    <cellStyle name="표준 2 6 2 2 3" xfId="1117" xr:uid="{00000000-0005-0000-0000-0000A4060000}"/>
    <cellStyle name="표준 2 6 2 2 3 2" xfId="2459" xr:uid="{00000000-0005-0000-0000-0000A5060000}"/>
    <cellStyle name="표준 2 6 2 2 4" xfId="585" xr:uid="{00000000-0005-0000-0000-0000A6060000}"/>
    <cellStyle name="표준 2 6 2 2 5" xfId="1411" xr:uid="{00000000-0005-0000-0000-0000A7060000}"/>
    <cellStyle name="표준 2 6 2 2 6" xfId="1719" xr:uid="{00000000-0005-0000-0000-0000A8060000}"/>
    <cellStyle name="표준 2 6 2 2 7" xfId="2001" xr:uid="{00000000-0005-0000-0000-0000A9060000}"/>
    <cellStyle name="표준 2 6 2 3" xfId="804" xr:uid="{00000000-0005-0000-0000-0000AA060000}"/>
    <cellStyle name="표준 2 6 2 3 2" xfId="2202" xr:uid="{00000000-0005-0000-0000-0000AB060000}"/>
    <cellStyle name="표준 2 6 2 4" xfId="1004" xr:uid="{00000000-0005-0000-0000-0000AC060000}"/>
    <cellStyle name="표준 2 6 2 4 2" xfId="2347" xr:uid="{00000000-0005-0000-0000-0000AD060000}"/>
    <cellStyle name="표준 2 6 2 5" xfId="472" xr:uid="{00000000-0005-0000-0000-0000AE060000}"/>
    <cellStyle name="표준 2 6 2 6" xfId="1336" xr:uid="{00000000-0005-0000-0000-0000AF060000}"/>
    <cellStyle name="표준 2 6 2 7" xfId="1644" xr:uid="{00000000-0005-0000-0000-0000B0060000}"/>
    <cellStyle name="표준 2 6 2 8" xfId="273" xr:uid="{00000000-0005-0000-0000-0000B1060000}"/>
    <cellStyle name="표준 2 6 2 9" xfId="174" xr:uid="{00000000-0005-0000-0000-0000B2060000}"/>
    <cellStyle name="표준 2 6 3" xfId="74" xr:uid="{00000000-0005-0000-0000-0000B3060000}"/>
    <cellStyle name="표준 2 6 3 2" xfId="361" xr:uid="{00000000-0005-0000-0000-0000B4060000}"/>
    <cellStyle name="표준 2 6 3 2 2" xfId="893" xr:uid="{00000000-0005-0000-0000-0000B5060000}"/>
    <cellStyle name="표준 2 6 3 2 2 2" xfId="2235" xr:uid="{00000000-0005-0000-0000-0000B6060000}"/>
    <cellStyle name="표준 2 6 3 2 3" xfId="1132" xr:uid="{00000000-0005-0000-0000-0000B7060000}"/>
    <cellStyle name="표준 2 6 3 2 3 2" xfId="2474" xr:uid="{00000000-0005-0000-0000-0000B8060000}"/>
    <cellStyle name="표준 2 6 3 2 4" xfId="600" xr:uid="{00000000-0005-0000-0000-0000B9060000}"/>
    <cellStyle name="표준 2 6 3 2 5" xfId="1426" xr:uid="{00000000-0005-0000-0000-0000BA060000}"/>
    <cellStyle name="표준 2 6 3 2 6" xfId="1734" xr:uid="{00000000-0005-0000-0000-0000BB060000}"/>
    <cellStyle name="표준 2 6 3 2 7" xfId="2015" xr:uid="{00000000-0005-0000-0000-0000BC060000}"/>
    <cellStyle name="표준 2 6 3 3" xfId="763" xr:uid="{00000000-0005-0000-0000-0000BD060000}"/>
    <cellStyle name="표준 2 6 3 3 2" xfId="2163" xr:uid="{00000000-0005-0000-0000-0000BE060000}"/>
    <cellStyle name="표준 2 6 3 4" xfId="1019" xr:uid="{00000000-0005-0000-0000-0000BF060000}"/>
    <cellStyle name="표준 2 6 3 4 2" xfId="2362" xr:uid="{00000000-0005-0000-0000-0000C0060000}"/>
    <cellStyle name="표준 2 6 3 5" xfId="487" xr:uid="{00000000-0005-0000-0000-0000C1060000}"/>
    <cellStyle name="표준 2 6 3 6" xfId="1295" xr:uid="{00000000-0005-0000-0000-0000C2060000}"/>
    <cellStyle name="표준 2 6 3 7" xfId="1603" xr:uid="{00000000-0005-0000-0000-0000C3060000}"/>
    <cellStyle name="표준 2 6 3 8" xfId="1907" xr:uid="{00000000-0005-0000-0000-0000C4060000}"/>
    <cellStyle name="표준 2 6 3 9" xfId="2623" xr:uid="{00000000-0005-0000-0000-0000C5060000}"/>
    <cellStyle name="표준 2 6 4" xfId="89" xr:uid="{00000000-0005-0000-0000-0000C6060000}"/>
    <cellStyle name="표준 2 6 4 2" xfId="376" xr:uid="{00000000-0005-0000-0000-0000C7060000}"/>
    <cellStyle name="표준 2 6 4 2 2" xfId="908" xr:uid="{00000000-0005-0000-0000-0000C8060000}"/>
    <cellStyle name="표준 2 6 4 2 2 2" xfId="2250" xr:uid="{00000000-0005-0000-0000-0000C9060000}"/>
    <cellStyle name="표준 2 6 4 2 3" xfId="1147" xr:uid="{00000000-0005-0000-0000-0000CA060000}"/>
    <cellStyle name="표준 2 6 4 2 3 2" xfId="2489" xr:uid="{00000000-0005-0000-0000-0000CB060000}"/>
    <cellStyle name="표준 2 6 4 2 4" xfId="615" xr:uid="{00000000-0005-0000-0000-0000CC060000}"/>
    <cellStyle name="표준 2 6 4 2 5" xfId="1441" xr:uid="{00000000-0005-0000-0000-0000CD060000}"/>
    <cellStyle name="표준 2 6 4 2 6" xfId="1749" xr:uid="{00000000-0005-0000-0000-0000CE060000}"/>
    <cellStyle name="표준 2 6 4 2 7" xfId="2030" xr:uid="{00000000-0005-0000-0000-0000CF060000}"/>
    <cellStyle name="표준 2 6 4 3" xfId="722" xr:uid="{00000000-0005-0000-0000-0000D0060000}"/>
    <cellStyle name="표준 2 6 4 3 2" xfId="2125" xr:uid="{00000000-0005-0000-0000-0000D1060000}"/>
    <cellStyle name="표준 2 6 4 4" xfId="1034" xr:uid="{00000000-0005-0000-0000-0000D2060000}"/>
    <cellStyle name="표준 2 6 4 4 2" xfId="2377" xr:uid="{00000000-0005-0000-0000-0000D3060000}"/>
    <cellStyle name="표준 2 6 4 5" xfId="502" xr:uid="{00000000-0005-0000-0000-0000D4060000}"/>
    <cellStyle name="표준 2 6 4 6" xfId="1254" xr:uid="{00000000-0005-0000-0000-0000D5060000}"/>
    <cellStyle name="표준 2 6 4 7" xfId="1562" xr:uid="{00000000-0005-0000-0000-0000D6060000}"/>
    <cellStyle name="표준 2 6 4 8" xfId="1867" xr:uid="{00000000-0005-0000-0000-0000D7060000}"/>
    <cellStyle name="표준 2 6 4 9" xfId="2624" xr:uid="{00000000-0005-0000-0000-0000D8060000}"/>
    <cellStyle name="표준 2 6 5" xfId="415" xr:uid="{00000000-0005-0000-0000-0000D9060000}"/>
    <cellStyle name="표준 2 6 5 2" xfId="947" xr:uid="{00000000-0005-0000-0000-0000DA060000}"/>
    <cellStyle name="표준 2 6 5 2 2" xfId="2290" xr:uid="{00000000-0005-0000-0000-0000DB060000}"/>
    <cellStyle name="표준 2 6 5 3" xfId="1099" xr:uid="{00000000-0005-0000-0000-0000DC060000}"/>
    <cellStyle name="표준 2 6 5 3 2" xfId="2441" xr:uid="{00000000-0005-0000-0000-0000DD060000}"/>
    <cellStyle name="표준 2 6 5 4" xfId="567" xr:uid="{00000000-0005-0000-0000-0000DE060000}"/>
    <cellStyle name="표준 2 6 5 5" xfId="1481" xr:uid="{00000000-0005-0000-0000-0000DF060000}"/>
    <cellStyle name="표준 2 6 5 6" xfId="1789" xr:uid="{00000000-0005-0000-0000-0000E0060000}"/>
    <cellStyle name="표준 2 6 5 7" xfId="2068" xr:uid="{00000000-0005-0000-0000-0000E1060000}"/>
    <cellStyle name="표준 2 6 5 8" xfId="2625" xr:uid="{00000000-0005-0000-0000-0000E2060000}"/>
    <cellStyle name="표준 2 6 6" xfId="328" xr:uid="{00000000-0005-0000-0000-0000E3060000}"/>
    <cellStyle name="표준 2 6 6 2" xfId="860" xr:uid="{00000000-0005-0000-0000-0000E4060000}"/>
    <cellStyle name="표준 2 6 6 3" xfId="1393" xr:uid="{00000000-0005-0000-0000-0000E5060000}"/>
    <cellStyle name="표준 2 6 6 4" xfId="1701" xr:uid="{00000000-0005-0000-0000-0000E6060000}"/>
    <cellStyle name="표준 2 6 6 5" xfId="1985" xr:uid="{00000000-0005-0000-0000-0000E7060000}"/>
    <cellStyle name="표준 2 6 6 6" xfId="2626" xr:uid="{00000000-0005-0000-0000-0000E8060000}"/>
    <cellStyle name="표준 2 6 7" xfId="289" xr:uid="{00000000-0005-0000-0000-0000E9060000}"/>
    <cellStyle name="표준 2 6 7 2" xfId="821" xr:uid="{00000000-0005-0000-0000-0000EA060000}"/>
    <cellStyle name="표준 2 6 7 3" xfId="1354" xr:uid="{00000000-0005-0000-0000-0000EB060000}"/>
    <cellStyle name="표준 2 6 7 4" xfId="1662" xr:uid="{00000000-0005-0000-0000-0000EC060000}"/>
    <cellStyle name="표준 2 6 7 5" xfId="1946" xr:uid="{00000000-0005-0000-0000-0000ED060000}"/>
    <cellStyle name="표준 2 6 8" xfId="680" xr:uid="{00000000-0005-0000-0000-0000EE060000}"/>
    <cellStyle name="표준 2 6 8 2" xfId="2107" xr:uid="{00000000-0005-0000-0000-0000EF060000}"/>
    <cellStyle name="표준 2 6 9" xfId="986" xr:uid="{00000000-0005-0000-0000-0000F0060000}"/>
    <cellStyle name="표준 2 6 9 2" xfId="2329" xr:uid="{00000000-0005-0000-0000-0000F1060000}"/>
    <cellStyle name="표준 2 7" xfId="29" xr:uid="{00000000-0005-0000-0000-0000F2060000}"/>
    <cellStyle name="표준 2 7 10" xfId="1508" xr:uid="{00000000-0005-0000-0000-0000F3060000}"/>
    <cellStyle name="표준 2 7 11" xfId="1816" xr:uid="{00000000-0005-0000-0000-0000F4060000}"/>
    <cellStyle name="표준 2 7 2" xfId="104" xr:uid="{00000000-0005-0000-0000-0000F5060000}"/>
    <cellStyle name="표준 2 7 2 2" xfId="391" xr:uid="{00000000-0005-0000-0000-0000F6060000}"/>
    <cellStyle name="표준 2 7 2 2 2" xfId="923" xr:uid="{00000000-0005-0000-0000-0000F7060000}"/>
    <cellStyle name="표준 2 7 2 2 2 2" xfId="2265" xr:uid="{00000000-0005-0000-0000-0000F8060000}"/>
    <cellStyle name="표준 2 7 2 2 3" xfId="1162" xr:uid="{00000000-0005-0000-0000-0000F9060000}"/>
    <cellStyle name="표준 2 7 2 2 3 2" xfId="2504" xr:uid="{00000000-0005-0000-0000-0000FA060000}"/>
    <cellStyle name="표준 2 7 2 2 4" xfId="630" xr:uid="{00000000-0005-0000-0000-0000FB060000}"/>
    <cellStyle name="표준 2 7 2 2 5" xfId="1456" xr:uid="{00000000-0005-0000-0000-0000FC060000}"/>
    <cellStyle name="표준 2 7 2 2 6" xfId="1764" xr:uid="{00000000-0005-0000-0000-0000FD060000}"/>
    <cellStyle name="표준 2 7 2 2 7" xfId="2044" xr:uid="{00000000-0005-0000-0000-0000FE060000}"/>
    <cellStyle name="표준 2 7 2 3" xfId="792" xr:uid="{00000000-0005-0000-0000-0000FF060000}"/>
    <cellStyle name="표준 2 7 2 3 2" xfId="2191" xr:uid="{00000000-0005-0000-0000-000000070000}"/>
    <cellStyle name="표준 2 7 2 4" xfId="1049" xr:uid="{00000000-0005-0000-0000-000001070000}"/>
    <cellStyle name="표준 2 7 2 4 2" xfId="2392" xr:uid="{00000000-0005-0000-0000-000002070000}"/>
    <cellStyle name="표준 2 7 2 5" xfId="517" xr:uid="{00000000-0005-0000-0000-000003070000}"/>
    <cellStyle name="표준 2 7 2 6" xfId="1324" xr:uid="{00000000-0005-0000-0000-000004070000}"/>
    <cellStyle name="표준 2 7 2 7" xfId="1632" xr:uid="{00000000-0005-0000-0000-000005070000}"/>
    <cellStyle name="표준 2 7 2 8" xfId="262" xr:uid="{00000000-0005-0000-0000-000006070000}"/>
    <cellStyle name="표준 2 7 2 9" xfId="175" xr:uid="{00000000-0005-0000-0000-000007070000}"/>
    <cellStyle name="표준 2 7 3" xfId="244" xr:uid="{00000000-0005-0000-0000-000008070000}"/>
    <cellStyle name="표준 2 7 3 2" xfId="751" xr:uid="{00000000-0005-0000-0000-000009070000}"/>
    <cellStyle name="표준 2 7 3 2 2" xfId="2152" xr:uid="{00000000-0005-0000-0000-00000A070000}"/>
    <cellStyle name="표준 2 7 3 3" xfId="1087" xr:uid="{00000000-0005-0000-0000-00000B070000}"/>
    <cellStyle name="표준 2 7 3 3 2" xfId="2429" xr:uid="{00000000-0005-0000-0000-00000C070000}"/>
    <cellStyle name="표준 2 7 3 4" xfId="555" xr:uid="{00000000-0005-0000-0000-00000D070000}"/>
    <cellStyle name="표준 2 7 3 5" xfId="1283" xr:uid="{00000000-0005-0000-0000-00000E070000}"/>
    <cellStyle name="표준 2 7 3 6" xfId="1591" xr:uid="{00000000-0005-0000-0000-00000F070000}"/>
    <cellStyle name="표준 2 7 3 7" xfId="1895" xr:uid="{00000000-0005-0000-0000-000010070000}"/>
    <cellStyle name="표준 2 7 3 8" xfId="2627" xr:uid="{00000000-0005-0000-0000-000011070000}"/>
    <cellStyle name="표준 2 7 4" xfId="218" xr:uid="{00000000-0005-0000-0000-000012070000}"/>
    <cellStyle name="표준 2 7 4 2" xfId="710" xr:uid="{00000000-0005-0000-0000-000013070000}"/>
    <cellStyle name="표준 2 7 4 3" xfId="1242" xr:uid="{00000000-0005-0000-0000-000014070000}"/>
    <cellStyle name="표준 2 7 4 4" xfId="1550" xr:uid="{00000000-0005-0000-0000-000015070000}"/>
    <cellStyle name="표준 2 7 4 5" xfId="1856" xr:uid="{00000000-0005-0000-0000-000016070000}"/>
    <cellStyle name="표준 2 7 5" xfId="316" xr:uid="{00000000-0005-0000-0000-000017070000}"/>
    <cellStyle name="표준 2 7 5 2" xfId="848" xr:uid="{00000000-0005-0000-0000-000018070000}"/>
    <cellStyle name="표준 2 7 5 3" xfId="1381" xr:uid="{00000000-0005-0000-0000-000019070000}"/>
    <cellStyle name="표준 2 7 5 4" xfId="1689" xr:uid="{00000000-0005-0000-0000-00001A070000}"/>
    <cellStyle name="표준 2 7 5 5" xfId="1973" xr:uid="{00000000-0005-0000-0000-00001B070000}"/>
    <cellStyle name="표준 2 7 6" xfId="668" xr:uid="{00000000-0005-0000-0000-00001C070000}"/>
    <cellStyle name="표준 2 7 6 2" xfId="2095" xr:uid="{00000000-0005-0000-0000-00001D070000}"/>
    <cellStyle name="표준 2 7 7" xfId="974" xr:uid="{00000000-0005-0000-0000-00001E070000}"/>
    <cellStyle name="표준 2 7 7 2" xfId="2317" xr:uid="{00000000-0005-0000-0000-00001F070000}"/>
    <cellStyle name="표준 2 7 8" xfId="442" xr:uid="{00000000-0005-0000-0000-000020070000}"/>
    <cellStyle name="표준 2 7 9" xfId="1200" xr:uid="{00000000-0005-0000-0000-000021070000}"/>
    <cellStyle name="표준 2 8" xfId="17" xr:uid="{00000000-0005-0000-0000-000022070000}"/>
    <cellStyle name="표준 2 8 10" xfId="1496" xr:uid="{00000000-0005-0000-0000-000023070000}"/>
    <cellStyle name="표준 2 8 11" xfId="1804" xr:uid="{00000000-0005-0000-0000-000024070000}"/>
    <cellStyle name="표준 2 8 12" xfId="176" xr:uid="{00000000-0005-0000-0000-000025070000}"/>
    <cellStyle name="표준 2 8 2" xfId="92" xr:uid="{00000000-0005-0000-0000-000026070000}"/>
    <cellStyle name="표준 2 8 2 2" xfId="379" xr:uid="{00000000-0005-0000-0000-000027070000}"/>
    <cellStyle name="표준 2 8 2 2 2" xfId="911" xr:uid="{00000000-0005-0000-0000-000028070000}"/>
    <cellStyle name="표준 2 8 2 2 2 2" xfId="2253" xr:uid="{00000000-0005-0000-0000-000029070000}"/>
    <cellStyle name="표준 2 8 2 2 3" xfId="1150" xr:uid="{00000000-0005-0000-0000-00002A070000}"/>
    <cellStyle name="표준 2 8 2 2 3 2" xfId="2492" xr:uid="{00000000-0005-0000-0000-00002B070000}"/>
    <cellStyle name="표준 2 8 2 2 4" xfId="618" xr:uid="{00000000-0005-0000-0000-00002C070000}"/>
    <cellStyle name="표준 2 8 2 2 5" xfId="1444" xr:uid="{00000000-0005-0000-0000-00002D070000}"/>
    <cellStyle name="표준 2 8 2 2 6" xfId="1752" xr:uid="{00000000-0005-0000-0000-00002E070000}"/>
    <cellStyle name="표준 2 8 2 2 7" xfId="2032" xr:uid="{00000000-0005-0000-0000-00002F070000}"/>
    <cellStyle name="표준 2 8 2 3" xfId="780" xr:uid="{00000000-0005-0000-0000-000030070000}"/>
    <cellStyle name="표준 2 8 2 3 2" xfId="2179" xr:uid="{00000000-0005-0000-0000-000031070000}"/>
    <cellStyle name="표준 2 8 2 4" xfId="1037" xr:uid="{00000000-0005-0000-0000-000032070000}"/>
    <cellStyle name="표준 2 8 2 4 2" xfId="2380" xr:uid="{00000000-0005-0000-0000-000033070000}"/>
    <cellStyle name="표준 2 8 2 5" xfId="505" xr:uid="{00000000-0005-0000-0000-000034070000}"/>
    <cellStyle name="표준 2 8 2 6" xfId="1312" xr:uid="{00000000-0005-0000-0000-000035070000}"/>
    <cellStyle name="표준 2 8 2 7" xfId="1620" xr:uid="{00000000-0005-0000-0000-000036070000}"/>
    <cellStyle name="표준 2 8 2 8" xfId="1920" xr:uid="{00000000-0005-0000-0000-000037070000}"/>
    <cellStyle name="표준 2 8 2 9" xfId="2628" xr:uid="{00000000-0005-0000-0000-000038070000}"/>
    <cellStyle name="표준 2 8 3" xfId="232" xr:uid="{00000000-0005-0000-0000-000039070000}"/>
    <cellStyle name="표준 2 8 3 2" xfId="739" xr:uid="{00000000-0005-0000-0000-00003A070000}"/>
    <cellStyle name="표준 2 8 3 2 2" xfId="2140" xr:uid="{00000000-0005-0000-0000-00003B070000}"/>
    <cellStyle name="표준 2 8 3 3" xfId="1075" xr:uid="{00000000-0005-0000-0000-00003C070000}"/>
    <cellStyle name="표준 2 8 3 3 2" xfId="2417" xr:uid="{00000000-0005-0000-0000-00003D070000}"/>
    <cellStyle name="표준 2 8 3 4" xfId="543" xr:uid="{00000000-0005-0000-0000-00003E070000}"/>
    <cellStyle name="표준 2 8 3 5" xfId="1271" xr:uid="{00000000-0005-0000-0000-00003F070000}"/>
    <cellStyle name="표준 2 8 3 6" xfId="1579" xr:uid="{00000000-0005-0000-0000-000040070000}"/>
    <cellStyle name="표준 2 8 3 7" xfId="1884" xr:uid="{00000000-0005-0000-0000-000041070000}"/>
    <cellStyle name="표준 2 8 3 8" xfId="2629" xr:uid="{00000000-0005-0000-0000-000042070000}"/>
    <cellStyle name="표준 2 8 4" xfId="207" xr:uid="{00000000-0005-0000-0000-000043070000}"/>
    <cellStyle name="표준 2 8 4 2" xfId="698" xr:uid="{00000000-0005-0000-0000-000044070000}"/>
    <cellStyle name="표준 2 8 4 3" xfId="1230" xr:uid="{00000000-0005-0000-0000-000045070000}"/>
    <cellStyle name="표준 2 8 4 4" xfId="1538" xr:uid="{00000000-0005-0000-0000-000046070000}"/>
    <cellStyle name="표준 2 8 4 5" xfId="1844" xr:uid="{00000000-0005-0000-0000-000047070000}"/>
    <cellStyle name="표준 2 8 5" xfId="304" xr:uid="{00000000-0005-0000-0000-000048070000}"/>
    <cellStyle name="표준 2 8 5 2" xfId="836" xr:uid="{00000000-0005-0000-0000-000049070000}"/>
    <cellStyle name="표준 2 8 5 3" xfId="1369" xr:uid="{00000000-0005-0000-0000-00004A070000}"/>
    <cellStyle name="표준 2 8 5 4" xfId="1677" xr:uid="{00000000-0005-0000-0000-00004B070000}"/>
    <cellStyle name="표준 2 8 5 5" xfId="1961" xr:uid="{00000000-0005-0000-0000-00004C070000}"/>
    <cellStyle name="표준 2 8 6" xfId="656" xr:uid="{00000000-0005-0000-0000-00004D070000}"/>
    <cellStyle name="표준 2 8 6 2" xfId="2083" xr:uid="{00000000-0005-0000-0000-00004E070000}"/>
    <cellStyle name="표준 2 8 7" xfId="962" xr:uid="{00000000-0005-0000-0000-00004F070000}"/>
    <cellStyle name="표준 2 8 7 2" xfId="2305" xr:uid="{00000000-0005-0000-0000-000050070000}"/>
    <cellStyle name="표준 2 8 8" xfId="430" xr:uid="{00000000-0005-0000-0000-000051070000}"/>
    <cellStyle name="표준 2 8 9" xfId="1188" xr:uid="{00000000-0005-0000-0000-000052070000}"/>
    <cellStyle name="표준 2 9" xfId="47" xr:uid="{00000000-0005-0000-0000-000053070000}"/>
    <cellStyle name="표준 2 9 2" xfId="334" xr:uid="{00000000-0005-0000-0000-000054070000}"/>
    <cellStyle name="표준 2 9 2 2" xfId="866" xr:uid="{00000000-0005-0000-0000-000055070000}"/>
    <cellStyle name="표준 2 9 2 2 2" xfId="2208" xr:uid="{00000000-0005-0000-0000-000056070000}"/>
    <cellStyle name="표준 2 9 2 3" xfId="1105" xr:uid="{00000000-0005-0000-0000-000057070000}"/>
    <cellStyle name="표준 2 9 2 3 2" xfId="2447" xr:uid="{00000000-0005-0000-0000-000058070000}"/>
    <cellStyle name="표준 2 9 2 4" xfId="573" xr:uid="{00000000-0005-0000-0000-000059070000}"/>
    <cellStyle name="표준 2 9 2 5" xfId="1399" xr:uid="{00000000-0005-0000-0000-00005A070000}"/>
    <cellStyle name="표준 2 9 2 6" xfId="1707" xr:uid="{00000000-0005-0000-0000-00005B070000}"/>
    <cellStyle name="표준 2 9 2 7" xfId="1990" xr:uid="{00000000-0005-0000-0000-00005C070000}"/>
    <cellStyle name="표준 2 9 2 8" xfId="2631" xr:uid="{00000000-0005-0000-0000-00005D070000}"/>
    <cellStyle name="표준 2 9 3" xfId="768" xr:uid="{00000000-0005-0000-0000-00005E070000}"/>
    <cellStyle name="표준 2 9 3 2" xfId="2167" xr:uid="{00000000-0005-0000-0000-00005F070000}"/>
    <cellStyle name="표준 2 9 4" xfId="992" xr:uid="{00000000-0005-0000-0000-000060070000}"/>
    <cellStyle name="표준 2 9 4 2" xfId="2335" xr:uid="{00000000-0005-0000-0000-000061070000}"/>
    <cellStyle name="표준 2 9 5" xfId="460" xr:uid="{00000000-0005-0000-0000-000062070000}"/>
    <cellStyle name="표준 2 9 6" xfId="1300" xr:uid="{00000000-0005-0000-0000-000063070000}"/>
    <cellStyle name="표준 2 9 7" xfId="1608" xr:uid="{00000000-0005-0000-0000-000064070000}"/>
    <cellStyle name="표준 2 9 8" xfId="1911" xr:uid="{00000000-0005-0000-0000-000065070000}"/>
    <cellStyle name="표준 2 9 9" xfId="2630" xr:uid="{00000000-0005-0000-0000-000066070000}"/>
    <cellStyle name="표준 200" xfId="197" xr:uid="{00000000-0005-0000-0000-000067070000}"/>
    <cellStyle name="표준 21" xfId="149" xr:uid="{00000000-0005-0000-0000-000068070000}"/>
    <cellStyle name="표준 232" xfId="193" xr:uid="{00000000-0005-0000-0000-000069070000}"/>
    <cellStyle name="표준 233" xfId="191" xr:uid="{00000000-0005-0000-0000-00006A070000}"/>
    <cellStyle name="표준 3" xfId="7" xr:uid="{00000000-0005-0000-0000-00006B070000}"/>
    <cellStyle name="표준 3 2" xfId="43" xr:uid="{00000000-0005-0000-0000-00006C070000}"/>
    <cellStyle name="표준 3 2 10" xfId="456" xr:uid="{00000000-0005-0000-0000-00006D070000}"/>
    <cellStyle name="표준 3 2 11" xfId="1214" xr:uid="{00000000-0005-0000-0000-00006E070000}"/>
    <cellStyle name="표준 3 2 12" xfId="1522" xr:uid="{00000000-0005-0000-0000-00006F070000}"/>
    <cellStyle name="표준 3 2 13" xfId="1830" xr:uid="{00000000-0005-0000-0000-000070070000}"/>
    <cellStyle name="표준 3 2 14" xfId="137" xr:uid="{00000000-0005-0000-0000-000071070000}"/>
    <cellStyle name="표준 3 2 2" xfId="61" xr:uid="{00000000-0005-0000-0000-000072070000}"/>
    <cellStyle name="표준 3 2 2 2" xfId="348" xr:uid="{00000000-0005-0000-0000-000073070000}"/>
    <cellStyle name="표준 3 2 2 2 2" xfId="880" xr:uid="{00000000-0005-0000-0000-000074070000}"/>
    <cellStyle name="표준 3 2 2 2 2 2" xfId="2222" xr:uid="{00000000-0005-0000-0000-000075070000}"/>
    <cellStyle name="표준 3 2 2 2 3" xfId="1119" xr:uid="{00000000-0005-0000-0000-000076070000}"/>
    <cellStyle name="표준 3 2 2 2 3 2" xfId="2461" xr:uid="{00000000-0005-0000-0000-000077070000}"/>
    <cellStyle name="표준 3 2 2 2 4" xfId="587" xr:uid="{00000000-0005-0000-0000-000078070000}"/>
    <cellStyle name="표준 3 2 2 2 5" xfId="1413" xr:uid="{00000000-0005-0000-0000-000079070000}"/>
    <cellStyle name="표준 3 2 2 2 6" xfId="1721" xr:uid="{00000000-0005-0000-0000-00007A070000}"/>
    <cellStyle name="표준 3 2 2 2 7" xfId="2003" xr:uid="{00000000-0005-0000-0000-00007B070000}"/>
    <cellStyle name="표준 3 2 2 2 8" xfId="2632" xr:uid="{00000000-0005-0000-0000-00007C070000}"/>
    <cellStyle name="표준 3 2 2 3" xfId="806" xr:uid="{00000000-0005-0000-0000-00007D070000}"/>
    <cellStyle name="표준 3 2 2 3 2" xfId="2204" xr:uid="{00000000-0005-0000-0000-00007E070000}"/>
    <cellStyle name="표준 3 2 2 4" xfId="1006" xr:uid="{00000000-0005-0000-0000-00007F070000}"/>
    <cellStyle name="표준 3 2 2 4 2" xfId="2349" xr:uid="{00000000-0005-0000-0000-000080070000}"/>
    <cellStyle name="표준 3 2 2 5" xfId="474" xr:uid="{00000000-0005-0000-0000-000081070000}"/>
    <cellStyle name="표준 3 2 2 6" xfId="1338" xr:uid="{00000000-0005-0000-0000-000082070000}"/>
    <cellStyle name="표준 3 2 2 7" xfId="1646" xr:uid="{00000000-0005-0000-0000-000083070000}"/>
    <cellStyle name="표준 3 2 2 8" xfId="275" xr:uid="{00000000-0005-0000-0000-000084070000}"/>
    <cellStyle name="표준 3 2 2 9" xfId="119" xr:uid="{00000000-0005-0000-0000-000085070000}"/>
    <cellStyle name="표준 3 2 3" xfId="76" xr:uid="{00000000-0005-0000-0000-000086070000}"/>
    <cellStyle name="표준 3 2 3 2" xfId="363" xr:uid="{00000000-0005-0000-0000-000087070000}"/>
    <cellStyle name="표준 3 2 3 2 2" xfId="895" xr:uid="{00000000-0005-0000-0000-000088070000}"/>
    <cellStyle name="표준 3 2 3 2 2 2" xfId="2237" xr:uid="{00000000-0005-0000-0000-000089070000}"/>
    <cellStyle name="표준 3 2 3 2 3" xfId="1134" xr:uid="{00000000-0005-0000-0000-00008A070000}"/>
    <cellStyle name="표준 3 2 3 2 3 2" xfId="2476" xr:uid="{00000000-0005-0000-0000-00008B070000}"/>
    <cellStyle name="표준 3 2 3 2 4" xfId="602" xr:uid="{00000000-0005-0000-0000-00008C070000}"/>
    <cellStyle name="표준 3 2 3 2 5" xfId="1428" xr:uid="{00000000-0005-0000-0000-00008D070000}"/>
    <cellStyle name="표준 3 2 3 2 6" xfId="1736" xr:uid="{00000000-0005-0000-0000-00008E070000}"/>
    <cellStyle name="표준 3 2 3 2 7" xfId="2017" xr:uid="{00000000-0005-0000-0000-00008F070000}"/>
    <cellStyle name="표준 3 2 3 2 8" xfId="2633" xr:uid="{00000000-0005-0000-0000-000090070000}"/>
    <cellStyle name="표준 3 2 3 3" xfId="765" xr:uid="{00000000-0005-0000-0000-000091070000}"/>
    <cellStyle name="표준 3 2 3 3 2" xfId="2165" xr:uid="{00000000-0005-0000-0000-000092070000}"/>
    <cellStyle name="표준 3 2 3 4" xfId="1021" xr:uid="{00000000-0005-0000-0000-000093070000}"/>
    <cellStyle name="표준 3 2 3 4 2" xfId="2364" xr:uid="{00000000-0005-0000-0000-000094070000}"/>
    <cellStyle name="표준 3 2 3 5" xfId="489" xr:uid="{00000000-0005-0000-0000-000095070000}"/>
    <cellStyle name="표준 3 2 3 6" xfId="1297" xr:uid="{00000000-0005-0000-0000-000096070000}"/>
    <cellStyle name="표준 3 2 3 7" xfId="1605" xr:uid="{00000000-0005-0000-0000-000097070000}"/>
    <cellStyle name="표준 3 2 3 8" xfId="255" xr:uid="{00000000-0005-0000-0000-000098070000}"/>
    <cellStyle name="표준 3 2 3 9" xfId="118" xr:uid="{00000000-0005-0000-0000-000099070000}"/>
    <cellStyle name="표준 3 2 4" xfId="91" xr:uid="{00000000-0005-0000-0000-00009A070000}"/>
    <cellStyle name="표준 3 2 4 2" xfId="177" xr:uid="{00000000-0005-0000-0000-00009B070000}"/>
    <cellStyle name="표준 3 2 4 2 2" xfId="910" xr:uid="{00000000-0005-0000-0000-00009C070000}"/>
    <cellStyle name="표준 3 2 4 2 2 2" xfId="2252" xr:uid="{00000000-0005-0000-0000-00009D070000}"/>
    <cellStyle name="표준 3 2 4 2 3" xfId="1149" xr:uid="{00000000-0005-0000-0000-00009E070000}"/>
    <cellStyle name="표준 3 2 4 2 3 2" xfId="2491" xr:uid="{00000000-0005-0000-0000-00009F070000}"/>
    <cellStyle name="표준 3 2 4 2 4" xfId="617" xr:uid="{00000000-0005-0000-0000-0000A0070000}"/>
    <cellStyle name="표준 3 2 4 2 5" xfId="1443" xr:uid="{00000000-0005-0000-0000-0000A1070000}"/>
    <cellStyle name="표준 3 2 4 2 6" xfId="1751" xr:uid="{00000000-0005-0000-0000-0000A2070000}"/>
    <cellStyle name="표준 3 2 4 2 7" xfId="378" xr:uid="{00000000-0005-0000-0000-0000A3070000}"/>
    <cellStyle name="표준 3 2 4 3" xfId="724" xr:uid="{00000000-0005-0000-0000-0000A4070000}"/>
    <cellStyle name="표준 3 2 4 3 2" xfId="2127" xr:uid="{00000000-0005-0000-0000-0000A5070000}"/>
    <cellStyle name="표준 3 2 4 4" xfId="1036" xr:uid="{00000000-0005-0000-0000-0000A6070000}"/>
    <cellStyle name="표준 3 2 4 4 2" xfId="2379" xr:uid="{00000000-0005-0000-0000-0000A7070000}"/>
    <cellStyle name="표준 3 2 4 5" xfId="504" xr:uid="{00000000-0005-0000-0000-0000A8070000}"/>
    <cellStyle name="표준 3 2 4 6" xfId="1256" xr:uid="{00000000-0005-0000-0000-0000A9070000}"/>
    <cellStyle name="표준 3 2 4 7" xfId="1564" xr:uid="{00000000-0005-0000-0000-0000AA070000}"/>
    <cellStyle name="표준 3 2 4 8" xfId="1869" xr:uid="{00000000-0005-0000-0000-0000AB070000}"/>
    <cellStyle name="표준 3 2 5" xfId="417" xr:uid="{00000000-0005-0000-0000-0000AC070000}"/>
    <cellStyle name="표준 3 2 5 2" xfId="949" xr:uid="{00000000-0005-0000-0000-0000AD070000}"/>
    <cellStyle name="표준 3 2 5 2 2" xfId="2292" xr:uid="{00000000-0005-0000-0000-0000AE070000}"/>
    <cellStyle name="표준 3 2 5 3" xfId="1101" xr:uid="{00000000-0005-0000-0000-0000AF070000}"/>
    <cellStyle name="표준 3 2 5 3 2" xfId="2443" xr:uid="{00000000-0005-0000-0000-0000B0070000}"/>
    <cellStyle name="표준 3 2 5 4" xfId="569" xr:uid="{00000000-0005-0000-0000-0000B1070000}"/>
    <cellStyle name="표준 3 2 5 5" xfId="1483" xr:uid="{00000000-0005-0000-0000-0000B2070000}"/>
    <cellStyle name="표준 3 2 5 6" xfId="1791" xr:uid="{00000000-0005-0000-0000-0000B3070000}"/>
    <cellStyle name="표준 3 2 5 7" xfId="2070" xr:uid="{00000000-0005-0000-0000-0000B4070000}"/>
    <cellStyle name="표준 3 2 5 8" xfId="2634" xr:uid="{00000000-0005-0000-0000-0000B5070000}"/>
    <cellStyle name="표준 3 2 6" xfId="330" xr:uid="{00000000-0005-0000-0000-0000B6070000}"/>
    <cellStyle name="표준 3 2 6 2" xfId="862" xr:uid="{00000000-0005-0000-0000-0000B7070000}"/>
    <cellStyle name="표준 3 2 6 3" xfId="1395" xr:uid="{00000000-0005-0000-0000-0000B8070000}"/>
    <cellStyle name="표준 3 2 6 4" xfId="1703" xr:uid="{00000000-0005-0000-0000-0000B9070000}"/>
    <cellStyle name="표준 3 2 6 5" xfId="1987" xr:uid="{00000000-0005-0000-0000-0000BA070000}"/>
    <cellStyle name="표준 3 2 7" xfId="291" xr:uid="{00000000-0005-0000-0000-0000BB070000}"/>
    <cellStyle name="표준 3 2 7 2" xfId="823" xr:uid="{00000000-0005-0000-0000-0000BC070000}"/>
    <cellStyle name="표준 3 2 7 3" xfId="1356" xr:uid="{00000000-0005-0000-0000-0000BD070000}"/>
    <cellStyle name="표준 3 2 7 4" xfId="1664" xr:uid="{00000000-0005-0000-0000-0000BE070000}"/>
    <cellStyle name="표준 3 2 7 5" xfId="1948" xr:uid="{00000000-0005-0000-0000-0000BF070000}"/>
    <cellStyle name="표준 3 2 8" xfId="682" xr:uid="{00000000-0005-0000-0000-0000C0070000}"/>
    <cellStyle name="표준 3 2 8 2" xfId="2109" xr:uid="{00000000-0005-0000-0000-0000C1070000}"/>
    <cellStyle name="표준 3 2 9" xfId="988" xr:uid="{00000000-0005-0000-0000-0000C2070000}"/>
    <cellStyle name="표준 3 2 9 2" xfId="2331" xr:uid="{00000000-0005-0000-0000-0000C3070000}"/>
    <cellStyle name="표준 3 3" xfId="139" xr:uid="{00000000-0005-0000-0000-0000C4070000}"/>
    <cellStyle name="표준 3 4" xfId="138" xr:uid="{00000000-0005-0000-0000-0000C5070000}"/>
    <cellStyle name="표준 3 5" xfId="150" xr:uid="{00000000-0005-0000-0000-0000C6070000}"/>
    <cellStyle name="표준 3 6" xfId="135" xr:uid="{00000000-0005-0000-0000-0000C7070000}"/>
    <cellStyle name="표준 36 2 2 2" xfId="188" xr:uid="{00000000-0005-0000-0000-0000C8070000}"/>
    <cellStyle name="표준 36 2 2 2 2" xfId="195" xr:uid="{00000000-0005-0000-0000-0000C9070000}"/>
    <cellStyle name="표준 36 5 6" xfId="192" xr:uid="{00000000-0005-0000-0000-0000CA070000}"/>
    <cellStyle name="표준 4" xfId="8" xr:uid="{00000000-0005-0000-0000-0000CB070000}"/>
    <cellStyle name="표준 4 10" xfId="647" xr:uid="{00000000-0005-0000-0000-0000CC070000}"/>
    <cellStyle name="표준 4 10 2" xfId="2074" xr:uid="{00000000-0005-0000-0000-0000CD070000}"/>
    <cellStyle name="표준 4 11" xfId="953" xr:uid="{00000000-0005-0000-0000-0000CE070000}"/>
    <cellStyle name="표준 4 11 2" xfId="2296" xr:uid="{00000000-0005-0000-0000-0000CF070000}"/>
    <cellStyle name="표준 4 12" xfId="421" xr:uid="{00000000-0005-0000-0000-0000D0070000}"/>
    <cellStyle name="표준 4 13" xfId="1179" xr:uid="{00000000-0005-0000-0000-0000D1070000}"/>
    <cellStyle name="표준 4 14" xfId="1487" xr:uid="{00000000-0005-0000-0000-0000D2070000}"/>
    <cellStyle name="표준 4 15" xfId="1795" xr:uid="{00000000-0005-0000-0000-0000D3070000}"/>
    <cellStyle name="표준 4 2" xfId="32" xr:uid="{00000000-0005-0000-0000-0000D4070000}"/>
    <cellStyle name="표준 4 2 10" xfId="1511" xr:uid="{00000000-0005-0000-0000-0000D5070000}"/>
    <cellStyle name="표준 4 2 11" xfId="1819" xr:uid="{00000000-0005-0000-0000-0000D6070000}"/>
    <cellStyle name="표준 4 2 12" xfId="124" xr:uid="{00000000-0005-0000-0000-0000D7070000}"/>
    <cellStyle name="표준 4 2 2" xfId="107" xr:uid="{00000000-0005-0000-0000-0000D8070000}"/>
    <cellStyle name="표준 4 2 2 2" xfId="394" xr:uid="{00000000-0005-0000-0000-0000D9070000}"/>
    <cellStyle name="표준 4 2 2 2 2" xfId="926" xr:uid="{00000000-0005-0000-0000-0000DA070000}"/>
    <cellStyle name="표준 4 2 2 2 2 2" xfId="2268" xr:uid="{00000000-0005-0000-0000-0000DB070000}"/>
    <cellStyle name="표준 4 2 2 2 3" xfId="1165" xr:uid="{00000000-0005-0000-0000-0000DC070000}"/>
    <cellStyle name="표준 4 2 2 2 3 2" xfId="2507" xr:uid="{00000000-0005-0000-0000-0000DD070000}"/>
    <cellStyle name="표준 4 2 2 2 4" xfId="633" xr:uid="{00000000-0005-0000-0000-0000DE070000}"/>
    <cellStyle name="표준 4 2 2 2 5" xfId="1459" xr:uid="{00000000-0005-0000-0000-0000DF070000}"/>
    <cellStyle name="표준 4 2 2 2 6" xfId="1767" xr:uid="{00000000-0005-0000-0000-0000E0070000}"/>
    <cellStyle name="표준 4 2 2 2 7" xfId="2047" xr:uid="{00000000-0005-0000-0000-0000E1070000}"/>
    <cellStyle name="표준 4 2 2 2 8" xfId="2635" xr:uid="{00000000-0005-0000-0000-0000E2070000}"/>
    <cellStyle name="표준 4 2 2 3" xfId="795" xr:uid="{00000000-0005-0000-0000-0000E3070000}"/>
    <cellStyle name="표준 4 2 2 3 2" xfId="2194" xr:uid="{00000000-0005-0000-0000-0000E4070000}"/>
    <cellStyle name="표준 4 2 2 4" xfId="1052" xr:uid="{00000000-0005-0000-0000-0000E5070000}"/>
    <cellStyle name="표준 4 2 2 4 2" xfId="2395" xr:uid="{00000000-0005-0000-0000-0000E6070000}"/>
    <cellStyle name="표준 4 2 2 5" xfId="520" xr:uid="{00000000-0005-0000-0000-0000E7070000}"/>
    <cellStyle name="표준 4 2 2 6" xfId="1327" xr:uid="{00000000-0005-0000-0000-0000E8070000}"/>
    <cellStyle name="표준 4 2 2 7" xfId="1635" xr:uid="{00000000-0005-0000-0000-0000E9070000}"/>
    <cellStyle name="표준 4 2 2 8" xfId="265" xr:uid="{00000000-0005-0000-0000-0000EA070000}"/>
    <cellStyle name="표준 4 2 2 9" xfId="126" xr:uid="{00000000-0005-0000-0000-0000EB070000}"/>
    <cellStyle name="표준 4 2 3" xfId="157" xr:uid="{00000000-0005-0000-0000-0000EC070000}"/>
    <cellStyle name="표준 4 2 3 2" xfId="178" xr:uid="{00000000-0005-0000-0000-0000ED070000}"/>
    <cellStyle name="표준 4 2 3 2 2" xfId="754" xr:uid="{00000000-0005-0000-0000-0000EE070000}"/>
    <cellStyle name="표준 4 2 3 3" xfId="1090" xr:uid="{00000000-0005-0000-0000-0000EF070000}"/>
    <cellStyle name="표준 4 2 3 3 2" xfId="2432" xr:uid="{00000000-0005-0000-0000-0000F0070000}"/>
    <cellStyle name="표준 4 2 3 4" xfId="558" xr:uid="{00000000-0005-0000-0000-0000F1070000}"/>
    <cellStyle name="표준 4 2 3 5" xfId="1286" xr:uid="{00000000-0005-0000-0000-0000F2070000}"/>
    <cellStyle name="표준 4 2 3 6" xfId="1594" xr:uid="{00000000-0005-0000-0000-0000F3070000}"/>
    <cellStyle name="표준 4 2 3 7" xfId="1898" xr:uid="{00000000-0005-0000-0000-0000F4070000}"/>
    <cellStyle name="표준 4 2 4" xfId="179" xr:uid="{00000000-0005-0000-0000-0000F5070000}"/>
    <cellStyle name="표준 4 2 4 2" xfId="713" xr:uid="{00000000-0005-0000-0000-0000F6070000}"/>
    <cellStyle name="표준 4 2 4 3" xfId="1245" xr:uid="{00000000-0005-0000-0000-0000F7070000}"/>
    <cellStyle name="표준 4 2 4 4" xfId="1553" xr:uid="{00000000-0005-0000-0000-0000F8070000}"/>
    <cellStyle name="표준 4 2 4 5" xfId="221" xr:uid="{00000000-0005-0000-0000-0000F9070000}"/>
    <cellStyle name="표준 4 2 5" xfId="319" xr:uid="{00000000-0005-0000-0000-0000FA070000}"/>
    <cellStyle name="표준 4 2 5 2" xfId="851" xr:uid="{00000000-0005-0000-0000-0000FB070000}"/>
    <cellStyle name="표준 4 2 5 3" xfId="1384" xr:uid="{00000000-0005-0000-0000-0000FC070000}"/>
    <cellStyle name="표준 4 2 5 4" xfId="1692" xr:uid="{00000000-0005-0000-0000-0000FD070000}"/>
    <cellStyle name="표준 4 2 5 5" xfId="1976" xr:uid="{00000000-0005-0000-0000-0000FE070000}"/>
    <cellStyle name="표준 4 2 6" xfId="671" xr:uid="{00000000-0005-0000-0000-0000FF070000}"/>
    <cellStyle name="표준 4 2 6 2" xfId="2098" xr:uid="{00000000-0005-0000-0000-000000080000}"/>
    <cellStyle name="표준 4 2 7" xfId="977" xr:uid="{00000000-0005-0000-0000-000001080000}"/>
    <cellStyle name="표준 4 2 7 2" xfId="2320" xr:uid="{00000000-0005-0000-0000-000002080000}"/>
    <cellStyle name="표준 4 2 8" xfId="445" xr:uid="{00000000-0005-0000-0000-000003080000}"/>
    <cellStyle name="표준 4 2 9" xfId="1203" xr:uid="{00000000-0005-0000-0000-000004080000}"/>
    <cellStyle name="표준 4 3" xfId="20" xr:uid="{00000000-0005-0000-0000-000005080000}"/>
    <cellStyle name="표준 4 3 10" xfId="1499" xr:uid="{00000000-0005-0000-0000-000006080000}"/>
    <cellStyle name="표준 4 3 11" xfId="1807" xr:uid="{00000000-0005-0000-0000-000007080000}"/>
    <cellStyle name="표준 4 3 12" xfId="127" xr:uid="{00000000-0005-0000-0000-000008080000}"/>
    <cellStyle name="표준 4 3 2" xfId="95" xr:uid="{00000000-0005-0000-0000-000009080000}"/>
    <cellStyle name="표준 4 3 2 2" xfId="382" xr:uid="{00000000-0005-0000-0000-00000A080000}"/>
    <cellStyle name="표준 4 3 2 2 2" xfId="914" xr:uid="{00000000-0005-0000-0000-00000B080000}"/>
    <cellStyle name="표준 4 3 2 2 2 2" xfId="2256" xr:uid="{00000000-0005-0000-0000-00000C080000}"/>
    <cellStyle name="표준 4 3 2 2 3" xfId="1153" xr:uid="{00000000-0005-0000-0000-00000D080000}"/>
    <cellStyle name="표준 4 3 2 2 3 2" xfId="2495" xr:uid="{00000000-0005-0000-0000-00000E080000}"/>
    <cellStyle name="표준 4 3 2 2 4" xfId="621" xr:uid="{00000000-0005-0000-0000-00000F080000}"/>
    <cellStyle name="표준 4 3 2 2 5" xfId="1447" xr:uid="{00000000-0005-0000-0000-000010080000}"/>
    <cellStyle name="표준 4 3 2 2 6" xfId="1755" xr:uid="{00000000-0005-0000-0000-000011080000}"/>
    <cellStyle name="표준 4 3 2 2 7" xfId="2035" xr:uid="{00000000-0005-0000-0000-000012080000}"/>
    <cellStyle name="표준 4 3 2 2 8" xfId="2637" xr:uid="{00000000-0005-0000-0000-000013080000}"/>
    <cellStyle name="표준 4 3 2 3" xfId="783" xr:uid="{00000000-0005-0000-0000-000014080000}"/>
    <cellStyle name="표준 4 3 2 3 2" xfId="2182" xr:uid="{00000000-0005-0000-0000-000015080000}"/>
    <cellStyle name="표준 4 3 2 4" xfId="1040" xr:uid="{00000000-0005-0000-0000-000016080000}"/>
    <cellStyle name="표준 4 3 2 4 2" xfId="2383" xr:uid="{00000000-0005-0000-0000-000017080000}"/>
    <cellStyle name="표준 4 3 2 5" xfId="508" xr:uid="{00000000-0005-0000-0000-000018080000}"/>
    <cellStyle name="표준 4 3 2 6" xfId="1315" xr:uid="{00000000-0005-0000-0000-000019080000}"/>
    <cellStyle name="표준 4 3 2 7" xfId="1623" xr:uid="{00000000-0005-0000-0000-00001A080000}"/>
    <cellStyle name="표준 4 3 2 8" xfId="1923" xr:uid="{00000000-0005-0000-0000-00001B080000}"/>
    <cellStyle name="표준 4 3 2 9" xfId="2636" xr:uid="{00000000-0005-0000-0000-00001C080000}"/>
    <cellStyle name="표준 4 3 3" xfId="235" xr:uid="{00000000-0005-0000-0000-00001D080000}"/>
    <cellStyle name="표준 4 3 3 2" xfId="742" xr:uid="{00000000-0005-0000-0000-00001E080000}"/>
    <cellStyle name="표준 4 3 3 2 2" xfId="2143" xr:uid="{00000000-0005-0000-0000-00001F080000}"/>
    <cellStyle name="표준 4 3 3 3" xfId="1078" xr:uid="{00000000-0005-0000-0000-000020080000}"/>
    <cellStyle name="표준 4 3 3 3 2" xfId="2420" xr:uid="{00000000-0005-0000-0000-000021080000}"/>
    <cellStyle name="표준 4 3 3 4" xfId="546" xr:uid="{00000000-0005-0000-0000-000022080000}"/>
    <cellStyle name="표준 4 3 3 5" xfId="1274" xr:uid="{00000000-0005-0000-0000-000023080000}"/>
    <cellStyle name="표준 4 3 3 6" xfId="1582" xr:uid="{00000000-0005-0000-0000-000024080000}"/>
    <cellStyle name="표준 4 3 3 7" xfId="1887" xr:uid="{00000000-0005-0000-0000-000025080000}"/>
    <cellStyle name="표준 4 3 4" xfId="210" xr:uid="{00000000-0005-0000-0000-000026080000}"/>
    <cellStyle name="표준 4 3 4 2" xfId="701" xr:uid="{00000000-0005-0000-0000-000027080000}"/>
    <cellStyle name="표준 4 3 4 3" xfId="1233" xr:uid="{00000000-0005-0000-0000-000028080000}"/>
    <cellStyle name="표준 4 3 4 4" xfId="1541" xr:uid="{00000000-0005-0000-0000-000029080000}"/>
    <cellStyle name="표준 4 3 4 5" xfId="1847" xr:uid="{00000000-0005-0000-0000-00002A080000}"/>
    <cellStyle name="표준 4 3 5" xfId="307" xr:uid="{00000000-0005-0000-0000-00002B080000}"/>
    <cellStyle name="표준 4 3 5 2" xfId="839" xr:uid="{00000000-0005-0000-0000-00002C080000}"/>
    <cellStyle name="표준 4 3 5 3" xfId="1372" xr:uid="{00000000-0005-0000-0000-00002D080000}"/>
    <cellStyle name="표준 4 3 5 4" xfId="1680" xr:uid="{00000000-0005-0000-0000-00002E080000}"/>
    <cellStyle name="표준 4 3 5 5" xfId="1964" xr:uid="{00000000-0005-0000-0000-00002F080000}"/>
    <cellStyle name="표준 4 3 6" xfId="659" xr:uid="{00000000-0005-0000-0000-000030080000}"/>
    <cellStyle name="표준 4 3 6 2" xfId="2086" xr:uid="{00000000-0005-0000-0000-000031080000}"/>
    <cellStyle name="표준 4 3 7" xfId="965" xr:uid="{00000000-0005-0000-0000-000032080000}"/>
    <cellStyle name="표준 4 3 7 2" xfId="2308" xr:uid="{00000000-0005-0000-0000-000033080000}"/>
    <cellStyle name="표준 4 3 8" xfId="433" xr:uid="{00000000-0005-0000-0000-000034080000}"/>
    <cellStyle name="표준 4 3 9" xfId="1191" xr:uid="{00000000-0005-0000-0000-000035080000}"/>
    <cellStyle name="표준 4 4" xfId="50" xr:uid="{00000000-0005-0000-0000-000036080000}"/>
    <cellStyle name="표준 4 4 2" xfId="337" xr:uid="{00000000-0005-0000-0000-000037080000}"/>
    <cellStyle name="표준 4 4 2 2" xfId="869" xr:uid="{00000000-0005-0000-0000-000038080000}"/>
    <cellStyle name="표준 4 4 2 2 2" xfId="2211" xr:uid="{00000000-0005-0000-0000-000039080000}"/>
    <cellStyle name="표준 4 4 2 3" xfId="1108" xr:uid="{00000000-0005-0000-0000-00003A080000}"/>
    <cellStyle name="표준 4 4 2 3 2" xfId="2450" xr:uid="{00000000-0005-0000-0000-00003B080000}"/>
    <cellStyle name="표준 4 4 2 4" xfId="576" xr:uid="{00000000-0005-0000-0000-00003C080000}"/>
    <cellStyle name="표준 4 4 2 5" xfId="1402" xr:uid="{00000000-0005-0000-0000-00003D080000}"/>
    <cellStyle name="표준 4 4 2 6" xfId="1710" xr:uid="{00000000-0005-0000-0000-00003E080000}"/>
    <cellStyle name="표준 4 4 2 7" xfId="1993" xr:uid="{00000000-0005-0000-0000-00003F080000}"/>
    <cellStyle name="표준 4 4 2 8" xfId="2638" xr:uid="{00000000-0005-0000-0000-000040080000}"/>
    <cellStyle name="표준 4 4 3" xfId="771" xr:uid="{00000000-0005-0000-0000-000041080000}"/>
    <cellStyle name="표준 4 4 3 2" xfId="2170" xr:uid="{00000000-0005-0000-0000-000042080000}"/>
    <cellStyle name="표준 4 4 4" xfId="995" xr:uid="{00000000-0005-0000-0000-000043080000}"/>
    <cellStyle name="표준 4 4 4 2" xfId="2338" xr:uid="{00000000-0005-0000-0000-000044080000}"/>
    <cellStyle name="표준 4 4 5" xfId="463" xr:uid="{00000000-0005-0000-0000-000045080000}"/>
    <cellStyle name="표준 4 4 6" xfId="1303" xr:uid="{00000000-0005-0000-0000-000046080000}"/>
    <cellStyle name="표준 4 4 7" xfId="1611" xr:uid="{00000000-0005-0000-0000-000047080000}"/>
    <cellStyle name="표준 4 4 8" xfId="258" xr:uid="{00000000-0005-0000-0000-000048080000}"/>
    <cellStyle name="표준 4 4 9" xfId="122" xr:uid="{00000000-0005-0000-0000-000049080000}"/>
    <cellStyle name="표준 4 5" xfId="65" xr:uid="{00000000-0005-0000-0000-00004A080000}"/>
    <cellStyle name="표준 4 5 2" xfId="180" xr:uid="{00000000-0005-0000-0000-00004B080000}"/>
    <cellStyle name="표준 4 5 2 2" xfId="884" xr:uid="{00000000-0005-0000-0000-00004C080000}"/>
    <cellStyle name="표준 4 5 2 2 2" xfId="2226" xr:uid="{00000000-0005-0000-0000-00004D080000}"/>
    <cellStyle name="표준 4 5 2 3" xfId="1123" xr:uid="{00000000-0005-0000-0000-00004E080000}"/>
    <cellStyle name="표준 4 5 2 3 2" xfId="2465" xr:uid="{00000000-0005-0000-0000-00004F080000}"/>
    <cellStyle name="표준 4 5 2 4" xfId="591" xr:uid="{00000000-0005-0000-0000-000050080000}"/>
    <cellStyle name="표준 4 5 2 5" xfId="1417" xr:uid="{00000000-0005-0000-0000-000051080000}"/>
    <cellStyle name="표준 4 5 2 6" xfId="1725" xr:uid="{00000000-0005-0000-0000-000052080000}"/>
    <cellStyle name="표준 4 5 2 7" xfId="352" xr:uid="{00000000-0005-0000-0000-000053080000}"/>
    <cellStyle name="표준 4 5 2 8" xfId="2639" xr:uid="{00000000-0005-0000-0000-000054080000}"/>
    <cellStyle name="표준 4 5 3" xfId="730" xr:uid="{00000000-0005-0000-0000-000055080000}"/>
    <cellStyle name="표준 4 5 3 2" xfId="2131" xr:uid="{00000000-0005-0000-0000-000056080000}"/>
    <cellStyle name="표준 4 5 3 3" xfId="2640" xr:uid="{00000000-0005-0000-0000-000057080000}"/>
    <cellStyle name="표준 4 5 4" xfId="1010" xr:uid="{00000000-0005-0000-0000-000058080000}"/>
    <cellStyle name="표준 4 5 4 2" xfId="2353" xr:uid="{00000000-0005-0000-0000-000059080000}"/>
    <cellStyle name="표준 4 5 5" xfId="478" xr:uid="{00000000-0005-0000-0000-00005A080000}"/>
    <cellStyle name="표준 4 5 6" xfId="1262" xr:uid="{00000000-0005-0000-0000-00005B080000}"/>
    <cellStyle name="표준 4 5 7" xfId="1570" xr:uid="{00000000-0005-0000-0000-00005C080000}"/>
    <cellStyle name="표준 4 5 8" xfId="1875" xr:uid="{00000000-0005-0000-0000-00005D080000}"/>
    <cellStyle name="표준 4 6" xfId="80" xr:uid="{00000000-0005-0000-0000-00005E080000}"/>
    <cellStyle name="표준 4 6 2" xfId="367" xr:uid="{00000000-0005-0000-0000-00005F080000}"/>
    <cellStyle name="표준 4 6 2 2" xfId="899" xr:uid="{00000000-0005-0000-0000-000060080000}"/>
    <cellStyle name="표준 4 6 2 2 2" xfId="2241" xr:uid="{00000000-0005-0000-0000-000061080000}"/>
    <cellStyle name="표준 4 6 2 3" xfId="1138" xr:uid="{00000000-0005-0000-0000-000062080000}"/>
    <cellStyle name="표준 4 6 2 3 2" xfId="2480" xr:uid="{00000000-0005-0000-0000-000063080000}"/>
    <cellStyle name="표준 4 6 2 4" xfId="606" xr:uid="{00000000-0005-0000-0000-000064080000}"/>
    <cellStyle name="표준 4 6 2 5" xfId="1432" xr:uid="{00000000-0005-0000-0000-000065080000}"/>
    <cellStyle name="표준 4 6 2 6" xfId="1740" xr:uid="{00000000-0005-0000-0000-000066080000}"/>
    <cellStyle name="표준 4 6 2 7" xfId="2021" xr:uid="{00000000-0005-0000-0000-000067080000}"/>
    <cellStyle name="표준 4 6 3" xfId="689" xr:uid="{00000000-0005-0000-0000-000068080000}"/>
    <cellStyle name="표준 4 6 3 2" xfId="2116" xr:uid="{00000000-0005-0000-0000-000069080000}"/>
    <cellStyle name="표준 4 6 4" xfId="1025" xr:uid="{00000000-0005-0000-0000-00006A080000}"/>
    <cellStyle name="표준 4 6 4 2" xfId="2368" xr:uid="{00000000-0005-0000-0000-00006B080000}"/>
    <cellStyle name="표준 4 6 5" xfId="493" xr:uid="{00000000-0005-0000-0000-00006C080000}"/>
    <cellStyle name="표준 4 6 6" xfId="1221" xr:uid="{00000000-0005-0000-0000-00006D080000}"/>
    <cellStyle name="표준 4 6 7" xfId="1529" xr:uid="{00000000-0005-0000-0000-00006E080000}"/>
    <cellStyle name="표준 4 6 8" xfId="206" xr:uid="{00000000-0005-0000-0000-00006F080000}"/>
    <cellStyle name="표준 4 6 9" xfId="181" xr:uid="{00000000-0005-0000-0000-000070080000}"/>
    <cellStyle name="표준 4 7" xfId="406" xr:uid="{00000000-0005-0000-0000-000071080000}"/>
    <cellStyle name="표준 4 7 2" xfId="938" xr:uid="{00000000-0005-0000-0000-000072080000}"/>
    <cellStyle name="표준 4 7 2 2" xfId="2281" xr:uid="{00000000-0005-0000-0000-000073080000}"/>
    <cellStyle name="표준 4 7 3" xfId="1066" xr:uid="{00000000-0005-0000-0000-000074080000}"/>
    <cellStyle name="표준 4 7 3 2" xfId="2408" xr:uid="{00000000-0005-0000-0000-000075080000}"/>
    <cellStyle name="표준 4 7 4" xfId="534" xr:uid="{00000000-0005-0000-0000-000076080000}"/>
    <cellStyle name="표준 4 7 5" xfId="1472" xr:uid="{00000000-0005-0000-0000-000077080000}"/>
    <cellStyle name="표준 4 7 6" xfId="1780" xr:uid="{00000000-0005-0000-0000-000078080000}"/>
    <cellStyle name="표준 4 7 7" xfId="2059" xr:uid="{00000000-0005-0000-0000-000079080000}"/>
    <cellStyle name="표준 4 7 8" xfId="2641" xr:uid="{00000000-0005-0000-0000-00007A080000}"/>
    <cellStyle name="표준 4 8" xfId="295" xr:uid="{00000000-0005-0000-0000-00007B080000}"/>
    <cellStyle name="표준 4 8 2" xfId="827" xr:uid="{00000000-0005-0000-0000-00007C080000}"/>
    <cellStyle name="표준 4 8 3" xfId="1360" xr:uid="{00000000-0005-0000-0000-00007D080000}"/>
    <cellStyle name="표준 4 8 4" xfId="1668" xr:uid="{00000000-0005-0000-0000-00007E080000}"/>
    <cellStyle name="표준 4 8 5" xfId="1952" xr:uid="{00000000-0005-0000-0000-00007F080000}"/>
    <cellStyle name="표준 4 8 6" xfId="2642" xr:uid="{00000000-0005-0000-0000-000080080000}"/>
    <cellStyle name="표준 4 9" xfId="280" xr:uid="{00000000-0005-0000-0000-000081080000}"/>
    <cellStyle name="표준 4 9 2" xfId="812" xr:uid="{00000000-0005-0000-0000-000082080000}"/>
    <cellStyle name="표준 4 9 3" xfId="1345" xr:uid="{00000000-0005-0000-0000-000083080000}"/>
    <cellStyle name="표준 4 9 4" xfId="1653" xr:uid="{00000000-0005-0000-0000-000084080000}"/>
    <cellStyle name="표준 4 9 5" xfId="1937" xr:uid="{00000000-0005-0000-0000-000085080000}"/>
    <cellStyle name="표준 47 2" xfId="194" xr:uid="{00000000-0005-0000-0000-000086080000}"/>
    <cellStyle name="표준 48 2" xfId="189" xr:uid="{00000000-0005-0000-0000-000087080000}"/>
    <cellStyle name="표준 5" xfId="15" xr:uid="{00000000-0005-0000-0000-000088080000}"/>
    <cellStyle name="표준 5 10" xfId="654" xr:uid="{00000000-0005-0000-0000-000089080000}"/>
    <cellStyle name="표준 5 10 2" xfId="2081" xr:uid="{00000000-0005-0000-0000-00008A080000}"/>
    <cellStyle name="표준 5 11" xfId="960" xr:uid="{00000000-0005-0000-0000-00008B080000}"/>
    <cellStyle name="표준 5 11 2" xfId="2303" xr:uid="{00000000-0005-0000-0000-00008C080000}"/>
    <cellStyle name="표준 5 12" xfId="428" xr:uid="{00000000-0005-0000-0000-00008D080000}"/>
    <cellStyle name="표준 5 13" xfId="1186" xr:uid="{00000000-0005-0000-0000-00008E080000}"/>
    <cellStyle name="표준 5 14" xfId="1494" xr:uid="{00000000-0005-0000-0000-00008F080000}"/>
    <cellStyle name="표준 5 15" xfId="1802" xr:uid="{00000000-0005-0000-0000-000090080000}"/>
    <cellStyle name="표준 5 16" xfId="132" xr:uid="{00000000-0005-0000-0000-000091080000}"/>
    <cellStyle name="표준 5 2" xfId="39" xr:uid="{00000000-0005-0000-0000-000092080000}"/>
    <cellStyle name="표준 5 2 10" xfId="1518" xr:uid="{00000000-0005-0000-0000-000093080000}"/>
    <cellStyle name="표준 5 2 11" xfId="1826" xr:uid="{00000000-0005-0000-0000-000094080000}"/>
    <cellStyle name="표준 5 2 2" xfId="114" xr:uid="{00000000-0005-0000-0000-000095080000}"/>
    <cellStyle name="표준 5 2 2 2" xfId="401" xr:uid="{00000000-0005-0000-0000-000096080000}"/>
    <cellStyle name="표준 5 2 2 2 2" xfId="933" xr:uid="{00000000-0005-0000-0000-000097080000}"/>
    <cellStyle name="표준 5 2 2 2 2 2" xfId="2275" xr:uid="{00000000-0005-0000-0000-000098080000}"/>
    <cellStyle name="표준 5 2 2 2 3" xfId="1172" xr:uid="{00000000-0005-0000-0000-000099080000}"/>
    <cellStyle name="표준 5 2 2 2 3 2" xfId="2514" xr:uid="{00000000-0005-0000-0000-00009A080000}"/>
    <cellStyle name="표준 5 2 2 2 4" xfId="640" xr:uid="{00000000-0005-0000-0000-00009B080000}"/>
    <cellStyle name="표준 5 2 2 2 5" xfId="1466" xr:uid="{00000000-0005-0000-0000-00009C080000}"/>
    <cellStyle name="표준 5 2 2 2 6" xfId="1774" xr:uid="{00000000-0005-0000-0000-00009D080000}"/>
    <cellStyle name="표준 5 2 2 2 7" xfId="2054" xr:uid="{00000000-0005-0000-0000-00009E080000}"/>
    <cellStyle name="표준 5 2 2 3" xfId="802" xr:uid="{00000000-0005-0000-0000-00009F080000}"/>
    <cellStyle name="표준 5 2 2 3 2" xfId="2201" xr:uid="{00000000-0005-0000-0000-0000A0080000}"/>
    <cellStyle name="표준 5 2 2 4" xfId="1059" xr:uid="{00000000-0005-0000-0000-0000A1080000}"/>
    <cellStyle name="표준 5 2 2 4 2" xfId="2402" xr:uid="{00000000-0005-0000-0000-0000A2080000}"/>
    <cellStyle name="표준 5 2 2 5" xfId="527" xr:uid="{00000000-0005-0000-0000-0000A3080000}"/>
    <cellStyle name="표준 5 2 2 6" xfId="1334" xr:uid="{00000000-0005-0000-0000-0000A4080000}"/>
    <cellStyle name="표준 5 2 2 7" xfId="1642" xr:uid="{00000000-0005-0000-0000-0000A5080000}"/>
    <cellStyle name="표준 5 2 2 8" xfId="272" xr:uid="{00000000-0005-0000-0000-0000A6080000}"/>
    <cellStyle name="표준 5 2 2 9" xfId="182" xr:uid="{00000000-0005-0000-0000-0000A7080000}"/>
    <cellStyle name="표준 5 2 3" xfId="253" xr:uid="{00000000-0005-0000-0000-0000A8080000}"/>
    <cellStyle name="표준 5 2 3 2" xfId="761" xr:uid="{00000000-0005-0000-0000-0000A9080000}"/>
    <cellStyle name="표준 5 2 3 2 2" xfId="2161" xr:uid="{00000000-0005-0000-0000-0000AA080000}"/>
    <cellStyle name="표준 5 2 3 3" xfId="1097" xr:uid="{00000000-0005-0000-0000-0000AB080000}"/>
    <cellStyle name="표준 5 2 3 3 2" xfId="2439" xr:uid="{00000000-0005-0000-0000-0000AC080000}"/>
    <cellStyle name="표준 5 2 3 4" xfId="565" xr:uid="{00000000-0005-0000-0000-0000AD080000}"/>
    <cellStyle name="표준 5 2 3 5" xfId="1293" xr:uid="{00000000-0005-0000-0000-0000AE080000}"/>
    <cellStyle name="표준 5 2 3 6" xfId="1601" xr:uid="{00000000-0005-0000-0000-0000AF080000}"/>
    <cellStyle name="표준 5 2 3 7" xfId="1905" xr:uid="{00000000-0005-0000-0000-0000B0080000}"/>
    <cellStyle name="표준 5 2 3 8" xfId="2643" xr:uid="{00000000-0005-0000-0000-0000B1080000}"/>
    <cellStyle name="표준 5 2 4" xfId="228" xr:uid="{00000000-0005-0000-0000-0000B2080000}"/>
    <cellStyle name="표준 5 2 4 2" xfId="720" xr:uid="{00000000-0005-0000-0000-0000B3080000}"/>
    <cellStyle name="표준 5 2 4 3" xfId="1252" xr:uid="{00000000-0005-0000-0000-0000B4080000}"/>
    <cellStyle name="표준 5 2 4 4" xfId="1560" xr:uid="{00000000-0005-0000-0000-0000B5080000}"/>
    <cellStyle name="표준 5 2 4 5" xfId="1865" xr:uid="{00000000-0005-0000-0000-0000B6080000}"/>
    <cellStyle name="표준 5 2 5" xfId="326" xr:uid="{00000000-0005-0000-0000-0000B7080000}"/>
    <cellStyle name="표준 5 2 5 2" xfId="858" xr:uid="{00000000-0005-0000-0000-0000B8080000}"/>
    <cellStyle name="표준 5 2 5 3" xfId="1391" xr:uid="{00000000-0005-0000-0000-0000B9080000}"/>
    <cellStyle name="표준 5 2 5 4" xfId="1699" xr:uid="{00000000-0005-0000-0000-0000BA080000}"/>
    <cellStyle name="표준 5 2 5 5" xfId="1983" xr:uid="{00000000-0005-0000-0000-0000BB080000}"/>
    <cellStyle name="표준 5 2 6" xfId="678" xr:uid="{00000000-0005-0000-0000-0000BC080000}"/>
    <cellStyle name="표준 5 2 6 2" xfId="2105" xr:uid="{00000000-0005-0000-0000-0000BD080000}"/>
    <cellStyle name="표준 5 2 7" xfId="984" xr:uid="{00000000-0005-0000-0000-0000BE080000}"/>
    <cellStyle name="표준 5 2 7 2" xfId="2327" xr:uid="{00000000-0005-0000-0000-0000BF080000}"/>
    <cellStyle name="표준 5 2 8" xfId="452" xr:uid="{00000000-0005-0000-0000-0000C0080000}"/>
    <cellStyle name="표준 5 2 9" xfId="1210" xr:uid="{00000000-0005-0000-0000-0000C1080000}"/>
    <cellStyle name="표준 5 3" xfId="27" xr:uid="{00000000-0005-0000-0000-0000C2080000}"/>
    <cellStyle name="표준 5 3 10" xfId="1506" xr:uid="{00000000-0005-0000-0000-0000C3080000}"/>
    <cellStyle name="표준 5 3 11" xfId="1814" xr:uid="{00000000-0005-0000-0000-0000C4080000}"/>
    <cellStyle name="표준 5 3 12" xfId="2644" xr:uid="{00000000-0005-0000-0000-0000C5080000}"/>
    <cellStyle name="표준 5 3 2" xfId="102" xr:uid="{00000000-0005-0000-0000-0000C6080000}"/>
    <cellStyle name="표준 5 3 2 2" xfId="389" xr:uid="{00000000-0005-0000-0000-0000C7080000}"/>
    <cellStyle name="표준 5 3 2 2 2" xfId="921" xr:uid="{00000000-0005-0000-0000-0000C8080000}"/>
    <cellStyle name="표준 5 3 2 2 2 2" xfId="2263" xr:uid="{00000000-0005-0000-0000-0000C9080000}"/>
    <cellStyle name="표준 5 3 2 2 3" xfId="1160" xr:uid="{00000000-0005-0000-0000-0000CA080000}"/>
    <cellStyle name="표준 5 3 2 2 3 2" xfId="2502" xr:uid="{00000000-0005-0000-0000-0000CB080000}"/>
    <cellStyle name="표준 5 3 2 2 4" xfId="628" xr:uid="{00000000-0005-0000-0000-0000CC080000}"/>
    <cellStyle name="표준 5 3 2 2 5" xfId="1454" xr:uid="{00000000-0005-0000-0000-0000CD080000}"/>
    <cellStyle name="표준 5 3 2 2 6" xfId="1762" xr:uid="{00000000-0005-0000-0000-0000CE080000}"/>
    <cellStyle name="표준 5 3 2 2 7" xfId="2042" xr:uid="{00000000-0005-0000-0000-0000CF080000}"/>
    <cellStyle name="표준 5 3 2 3" xfId="790" xr:uid="{00000000-0005-0000-0000-0000D0080000}"/>
    <cellStyle name="표준 5 3 2 3 2" xfId="2189" xr:uid="{00000000-0005-0000-0000-0000D1080000}"/>
    <cellStyle name="표준 5 3 2 4" xfId="1047" xr:uid="{00000000-0005-0000-0000-0000D2080000}"/>
    <cellStyle name="표준 5 3 2 4 2" xfId="2390" xr:uid="{00000000-0005-0000-0000-0000D3080000}"/>
    <cellStyle name="표준 5 3 2 5" xfId="515" xr:uid="{00000000-0005-0000-0000-0000D4080000}"/>
    <cellStyle name="표준 5 3 2 6" xfId="1322" xr:uid="{00000000-0005-0000-0000-0000D5080000}"/>
    <cellStyle name="표준 5 3 2 7" xfId="1630" xr:uid="{00000000-0005-0000-0000-0000D6080000}"/>
    <cellStyle name="표준 5 3 2 8" xfId="1930" xr:uid="{00000000-0005-0000-0000-0000D7080000}"/>
    <cellStyle name="표준 5 3 2 9" xfId="2645" xr:uid="{00000000-0005-0000-0000-0000D8080000}"/>
    <cellStyle name="표준 5 3 3" xfId="242" xr:uid="{00000000-0005-0000-0000-0000D9080000}"/>
    <cellStyle name="표준 5 3 3 2" xfId="749" xr:uid="{00000000-0005-0000-0000-0000DA080000}"/>
    <cellStyle name="표준 5 3 3 2 2" xfId="2150" xr:uid="{00000000-0005-0000-0000-0000DB080000}"/>
    <cellStyle name="표준 5 3 3 3" xfId="1085" xr:uid="{00000000-0005-0000-0000-0000DC080000}"/>
    <cellStyle name="표준 5 3 3 3 2" xfId="2427" xr:uid="{00000000-0005-0000-0000-0000DD080000}"/>
    <cellStyle name="표준 5 3 3 4" xfId="553" xr:uid="{00000000-0005-0000-0000-0000DE080000}"/>
    <cellStyle name="표준 5 3 3 5" xfId="1281" xr:uid="{00000000-0005-0000-0000-0000DF080000}"/>
    <cellStyle name="표준 5 3 3 6" xfId="1589" xr:uid="{00000000-0005-0000-0000-0000E0080000}"/>
    <cellStyle name="표준 5 3 3 7" xfId="1893" xr:uid="{00000000-0005-0000-0000-0000E1080000}"/>
    <cellStyle name="표준 5 3 3 8" xfId="2646" xr:uid="{00000000-0005-0000-0000-0000E2080000}"/>
    <cellStyle name="표준 5 3 4" xfId="216" xr:uid="{00000000-0005-0000-0000-0000E3080000}"/>
    <cellStyle name="표준 5 3 4 2" xfId="708" xr:uid="{00000000-0005-0000-0000-0000E4080000}"/>
    <cellStyle name="표준 5 3 4 3" xfId="1240" xr:uid="{00000000-0005-0000-0000-0000E5080000}"/>
    <cellStyle name="표준 5 3 4 4" xfId="1548" xr:uid="{00000000-0005-0000-0000-0000E6080000}"/>
    <cellStyle name="표준 5 3 4 5" xfId="1854" xr:uid="{00000000-0005-0000-0000-0000E7080000}"/>
    <cellStyle name="표준 5 3 5" xfId="314" xr:uid="{00000000-0005-0000-0000-0000E8080000}"/>
    <cellStyle name="표준 5 3 5 2" xfId="846" xr:uid="{00000000-0005-0000-0000-0000E9080000}"/>
    <cellStyle name="표준 5 3 5 3" xfId="1379" xr:uid="{00000000-0005-0000-0000-0000EA080000}"/>
    <cellStyle name="표준 5 3 5 4" xfId="1687" xr:uid="{00000000-0005-0000-0000-0000EB080000}"/>
    <cellStyle name="표준 5 3 5 5" xfId="1971" xr:uid="{00000000-0005-0000-0000-0000EC080000}"/>
    <cellStyle name="표준 5 3 6" xfId="666" xr:uid="{00000000-0005-0000-0000-0000ED080000}"/>
    <cellStyle name="표준 5 3 6 2" xfId="2093" xr:uid="{00000000-0005-0000-0000-0000EE080000}"/>
    <cellStyle name="표준 5 3 7" xfId="972" xr:uid="{00000000-0005-0000-0000-0000EF080000}"/>
    <cellStyle name="표준 5 3 7 2" xfId="2315" xr:uid="{00000000-0005-0000-0000-0000F0080000}"/>
    <cellStyle name="표준 5 3 8" xfId="440" xr:uid="{00000000-0005-0000-0000-0000F1080000}"/>
    <cellStyle name="표준 5 3 9" xfId="1198" xr:uid="{00000000-0005-0000-0000-0000F2080000}"/>
    <cellStyle name="표준 5 4" xfId="57" xr:uid="{00000000-0005-0000-0000-0000F3080000}"/>
    <cellStyle name="표준 5 4 2" xfId="344" xr:uid="{00000000-0005-0000-0000-0000F4080000}"/>
    <cellStyle name="표준 5 4 2 2" xfId="876" xr:uid="{00000000-0005-0000-0000-0000F5080000}"/>
    <cellStyle name="표준 5 4 2 2 2" xfId="2218" xr:uid="{00000000-0005-0000-0000-0000F6080000}"/>
    <cellStyle name="표준 5 4 2 3" xfId="1115" xr:uid="{00000000-0005-0000-0000-0000F7080000}"/>
    <cellStyle name="표준 5 4 2 3 2" xfId="2457" xr:uid="{00000000-0005-0000-0000-0000F8080000}"/>
    <cellStyle name="표준 5 4 2 4" xfId="583" xr:uid="{00000000-0005-0000-0000-0000F9080000}"/>
    <cellStyle name="표준 5 4 2 5" xfId="1409" xr:uid="{00000000-0005-0000-0000-0000FA080000}"/>
    <cellStyle name="표준 5 4 2 6" xfId="1717" xr:uid="{00000000-0005-0000-0000-0000FB080000}"/>
    <cellStyle name="표준 5 4 2 7" xfId="1999" xr:uid="{00000000-0005-0000-0000-0000FC080000}"/>
    <cellStyle name="표준 5 4 3" xfId="778" xr:uid="{00000000-0005-0000-0000-0000FD080000}"/>
    <cellStyle name="표준 5 4 3 2" xfId="2177" xr:uid="{00000000-0005-0000-0000-0000FE080000}"/>
    <cellStyle name="표준 5 4 4" xfId="1002" xr:uid="{00000000-0005-0000-0000-0000FF080000}"/>
    <cellStyle name="표준 5 4 4 2" xfId="2345" xr:uid="{00000000-0005-0000-0000-000000090000}"/>
    <cellStyle name="표준 5 4 5" xfId="470" xr:uid="{00000000-0005-0000-0000-000001090000}"/>
    <cellStyle name="표준 5 4 6" xfId="1310" xr:uid="{00000000-0005-0000-0000-000002090000}"/>
    <cellStyle name="표준 5 4 7" xfId="1618" xr:uid="{00000000-0005-0000-0000-000003090000}"/>
    <cellStyle name="표준 5 4 8" xfId="1918" xr:uid="{00000000-0005-0000-0000-000004090000}"/>
    <cellStyle name="표준 5 4 9" xfId="2647" xr:uid="{00000000-0005-0000-0000-000005090000}"/>
    <cellStyle name="표준 5 5" xfId="72" xr:uid="{00000000-0005-0000-0000-000006090000}"/>
    <cellStyle name="표준 5 5 2" xfId="359" xr:uid="{00000000-0005-0000-0000-000007090000}"/>
    <cellStyle name="표준 5 5 2 2" xfId="891" xr:uid="{00000000-0005-0000-0000-000008090000}"/>
    <cellStyle name="표준 5 5 2 2 2" xfId="2233" xr:uid="{00000000-0005-0000-0000-000009090000}"/>
    <cellStyle name="표준 5 5 2 3" xfId="1130" xr:uid="{00000000-0005-0000-0000-00000A090000}"/>
    <cellStyle name="표준 5 5 2 3 2" xfId="2472" xr:uid="{00000000-0005-0000-0000-00000B090000}"/>
    <cellStyle name="표준 5 5 2 4" xfId="598" xr:uid="{00000000-0005-0000-0000-00000C090000}"/>
    <cellStyle name="표준 5 5 2 5" xfId="1424" xr:uid="{00000000-0005-0000-0000-00000D090000}"/>
    <cellStyle name="표준 5 5 2 6" xfId="1732" xr:uid="{00000000-0005-0000-0000-00000E090000}"/>
    <cellStyle name="표준 5 5 2 7" xfId="2013" xr:uid="{00000000-0005-0000-0000-00000F090000}"/>
    <cellStyle name="표준 5 5 3" xfId="737" xr:uid="{00000000-0005-0000-0000-000010090000}"/>
    <cellStyle name="표준 5 5 3 2" xfId="2138" xr:uid="{00000000-0005-0000-0000-000011090000}"/>
    <cellStyle name="표준 5 5 4" xfId="1017" xr:uid="{00000000-0005-0000-0000-000012090000}"/>
    <cellStyle name="표준 5 5 4 2" xfId="2360" xr:uid="{00000000-0005-0000-0000-000013090000}"/>
    <cellStyle name="표준 5 5 5" xfId="485" xr:uid="{00000000-0005-0000-0000-000014090000}"/>
    <cellStyle name="표준 5 5 6" xfId="1269" xr:uid="{00000000-0005-0000-0000-000015090000}"/>
    <cellStyle name="표준 5 5 7" xfId="1577" xr:uid="{00000000-0005-0000-0000-000016090000}"/>
    <cellStyle name="표준 5 5 8" xfId="1882" xr:uid="{00000000-0005-0000-0000-000017090000}"/>
    <cellStyle name="표준 5 5 9" xfId="2648" xr:uid="{00000000-0005-0000-0000-000018090000}"/>
    <cellStyle name="표준 5 6" xfId="87" xr:uid="{00000000-0005-0000-0000-000019090000}"/>
    <cellStyle name="표준 5 6 2" xfId="374" xr:uid="{00000000-0005-0000-0000-00001A090000}"/>
    <cellStyle name="표준 5 6 2 2" xfId="906" xr:uid="{00000000-0005-0000-0000-00001B090000}"/>
    <cellStyle name="표준 5 6 2 2 2" xfId="2248" xr:uid="{00000000-0005-0000-0000-00001C090000}"/>
    <cellStyle name="표준 5 6 2 3" xfId="1145" xr:uid="{00000000-0005-0000-0000-00001D090000}"/>
    <cellStyle name="표준 5 6 2 3 2" xfId="2487" xr:uid="{00000000-0005-0000-0000-00001E090000}"/>
    <cellStyle name="표준 5 6 2 4" xfId="613" xr:uid="{00000000-0005-0000-0000-00001F090000}"/>
    <cellStyle name="표준 5 6 2 5" xfId="1439" xr:uid="{00000000-0005-0000-0000-000020090000}"/>
    <cellStyle name="표준 5 6 2 6" xfId="1747" xr:uid="{00000000-0005-0000-0000-000021090000}"/>
    <cellStyle name="표준 5 6 2 7" xfId="2028" xr:uid="{00000000-0005-0000-0000-000022090000}"/>
    <cellStyle name="표준 5 6 3" xfId="696" xr:uid="{00000000-0005-0000-0000-000023090000}"/>
    <cellStyle name="표준 5 6 3 2" xfId="2123" xr:uid="{00000000-0005-0000-0000-000024090000}"/>
    <cellStyle name="표준 5 6 4" xfId="1032" xr:uid="{00000000-0005-0000-0000-000025090000}"/>
    <cellStyle name="표준 5 6 4 2" xfId="2375" xr:uid="{00000000-0005-0000-0000-000026090000}"/>
    <cellStyle name="표준 5 6 5" xfId="500" xr:uid="{00000000-0005-0000-0000-000027090000}"/>
    <cellStyle name="표준 5 6 6" xfId="1228" xr:uid="{00000000-0005-0000-0000-000028090000}"/>
    <cellStyle name="표준 5 6 7" xfId="1536" xr:uid="{00000000-0005-0000-0000-000029090000}"/>
    <cellStyle name="표준 5 6 8" xfId="1842" xr:uid="{00000000-0005-0000-0000-00002A090000}"/>
    <cellStyle name="표준 5 6 9" xfId="2649" xr:uid="{00000000-0005-0000-0000-00002B090000}"/>
    <cellStyle name="표준 5 7" xfId="413" xr:uid="{00000000-0005-0000-0000-00002C090000}"/>
    <cellStyle name="표준 5 7 2" xfId="945" xr:uid="{00000000-0005-0000-0000-00002D090000}"/>
    <cellStyle name="표준 5 7 2 2" xfId="2288" xr:uid="{00000000-0005-0000-0000-00002E090000}"/>
    <cellStyle name="표준 5 7 3" xfId="1073" xr:uid="{00000000-0005-0000-0000-00002F090000}"/>
    <cellStyle name="표준 5 7 3 2" xfId="2415" xr:uid="{00000000-0005-0000-0000-000030090000}"/>
    <cellStyle name="표준 5 7 4" xfId="541" xr:uid="{00000000-0005-0000-0000-000031090000}"/>
    <cellStyle name="표준 5 7 5" xfId="1479" xr:uid="{00000000-0005-0000-0000-000032090000}"/>
    <cellStyle name="표준 5 7 6" xfId="1787" xr:uid="{00000000-0005-0000-0000-000033090000}"/>
    <cellStyle name="표준 5 7 7" xfId="2066" xr:uid="{00000000-0005-0000-0000-000034090000}"/>
    <cellStyle name="표준 5 7 8" xfId="2650" xr:uid="{00000000-0005-0000-0000-000035090000}"/>
    <cellStyle name="표준 5 8" xfId="302" xr:uid="{00000000-0005-0000-0000-000036090000}"/>
    <cellStyle name="표준 5 8 2" xfId="834" xr:uid="{00000000-0005-0000-0000-000037090000}"/>
    <cellStyle name="표준 5 8 3" xfId="1367" xr:uid="{00000000-0005-0000-0000-000038090000}"/>
    <cellStyle name="표준 5 8 4" xfId="1675" xr:uid="{00000000-0005-0000-0000-000039090000}"/>
    <cellStyle name="표준 5 8 5" xfId="1959" xr:uid="{00000000-0005-0000-0000-00003A090000}"/>
    <cellStyle name="표준 5 9" xfId="287" xr:uid="{00000000-0005-0000-0000-00003B090000}"/>
    <cellStyle name="표준 5 9 2" xfId="819" xr:uid="{00000000-0005-0000-0000-00003C090000}"/>
    <cellStyle name="표준 5 9 3" xfId="1352" xr:uid="{00000000-0005-0000-0000-00003D090000}"/>
    <cellStyle name="표준 5 9 4" xfId="1660" xr:uid="{00000000-0005-0000-0000-00003E090000}"/>
    <cellStyle name="표준 5 9 5" xfId="1944" xr:uid="{00000000-0005-0000-0000-00003F090000}"/>
    <cellStyle name="표준 6" xfId="16" xr:uid="{00000000-0005-0000-0000-000040090000}"/>
    <cellStyle name="표준 6 10" xfId="655" xr:uid="{00000000-0005-0000-0000-000041090000}"/>
    <cellStyle name="표준 6 10 2" xfId="2082" xr:uid="{00000000-0005-0000-0000-000042090000}"/>
    <cellStyle name="표준 6 11" xfId="961" xr:uid="{00000000-0005-0000-0000-000043090000}"/>
    <cellStyle name="표준 6 11 2" xfId="2304" xr:uid="{00000000-0005-0000-0000-000044090000}"/>
    <cellStyle name="표준 6 12" xfId="429" xr:uid="{00000000-0005-0000-0000-000045090000}"/>
    <cellStyle name="표준 6 13" xfId="1187" xr:uid="{00000000-0005-0000-0000-000046090000}"/>
    <cellStyle name="표준 6 14" xfId="1495" xr:uid="{00000000-0005-0000-0000-000047090000}"/>
    <cellStyle name="표준 6 15" xfId="1803" xr:uid="{00000000-0005-0000-0000-000048090000}"/>
    <cellStyle name="표준 6 16" xfId="123" xr:uid="{00000000-0005-0000-0000-000049090000}"/>
    <cellStyle name="표준 6 2" xfId="40" xr:uid="{00000000-0005-0000-0000-00004A090000}"/>
    <cellStyle name="표준 6 2 10" xfId="1519" xr:uid="{00000000-0005-0000-0000-00004B090000}"/>
    <cellStyle name="표준 6 2 11" xfId="1827" xr:uid="{00000000-0005-0000-0000-00004C090000}"/>
    <cellStyle name="표준 6 2 12" xfId="151" xr:uid="{00000000-0005-0000-0000-00004D090000}"/>
    <cellStyle name="표준 6 2 2" xfId="115" xr:uid="{00000000-0005-0000-0000-00004E090000}"/>
    <cellStyle name="표준 6 2 2 2" xfId="183" xr:uid="{00000000-0005-0000-0000-00004F090000}"/>
    <cellStyle name="표준 6 2 2 2 2" xfId="203" xr:uid="{00000000-0005-0000-0000-000050090000}"/>
    <cellStyle name="표준 6 2 2 2 2 2" xfId="2276" xr:uid="{00000000-0005-0000-0000-000051090000}"/>
    <cellStyle name="표준 6 2 2 2 3" xfId="1173" xr:uid="{00000000-0005-0000-0000-000052090000}"/>
    <cellStyle name="표준 6 2 2 2 3 2" xfId="2515" xr:uid="{00000000-0005-0000-0000-000053090000}"/>
    <cellStyle name="표준 6 2 2 2 4" xfId="641" xr:uid="{00000000-0005-0000-0000-000054090000}"/>
    <cellStyle name="표준 6 2 2 2 5" xfId="1467" xr:uid="{00000000-0005-0000-0000-000055090000}"/>
    <cellStyle name="표준 6 2 2 2 6" xfId="1775" xr:uid="{00000000-0005-0000-0000-000056090000}"/>
    <cellStyle name="표준 6 2 2 2 7" xfId="2055" xr:uid="{00000000-0005-0000-0000-000057090000}"/>
    <cellStyle name="표준 6 2 2 3" xfId="198" xr:uid="{00000000-0005-0000-0000-000058090000}"/>
    <cellStyle name="표준 6 2 2 3 2" xfId="803" xr:uid="{00000000-0005-0000-0000-000059090000}"/>
    <cellStyle name="표준 6 2 2 3 3" xfId="2651" xr:uid="{00000000-0005-0000-0000-00005A090000}"/>
    <cellStyle name="표준 6 2 2 4" xfId="1060" xr:uid="{00000000-0005-0000-0000-00005B090000}"/>
    <cellStyle name="표준 6 2 2 4 2" xfId="2403" xr:uid="{00000000-0005-0000-0000-00005C090000}"/>
    <cellStyle name="표준 6 2 2 5" xfId="528" xr:uid="{00000000-0005-0000-0000-00005D090000}"/>
    <cellStyle name="표준 6 2 2 6" xfId="1335" xr:uid="{00000000-0005-0000-0000-00005E090000}"/>
    <cellStyle name="표준 6 2 2 7" xfId="1643" xr:uid="{00000000-0005-0000-0000-00005F090000}"/>
    <cellStyle name="표준 6 2 2 8" xfId="1931" xr:uid="{00000000-0005-0000-0000-000060090000}"/>
    <cellStyle name="표준 6 2 3" xfId="254" xr:uid="{00000000-0005-0000-0000-000061090000}"/>
    <cellStyle name="표준 6 2 3 2" xfId="762" xr:uid="{00000000-0005-0000-0000-000062090000}"/>
    <cellStyle name="표준 6 2 3 2 2" xfId="2162" xr:uid="{00000000-0005-0000-0000-000063090000}"/>
    <cellStyle name="표준 6 2 3 3" xfId="1098" xr:uid="{00000000-0005-0000-0000-000064090000}"/>
    <cellStyle name="표준 6 2 3 3 2" xfId="2440" xr:uid="{00000000-0005-0000-0000-000065090000}"/>
    <cellStyle name="표준 6 2 3 4" xfId="566" xr:uid="{00000000-0005-0000-0000-000066090000}"/>
    <cellStyle name="표준 6 2 3 5" xfId="1294" xr:uid="{00000000-0005-0000-0000-000067090000}"/>
    <cellStyle name="표준 6 2 3 6" xfId="1602" xr:uid="{00000000-0005-0000-0000-000068090000}"/>
    <cellStyle name="표준 6 2 3 7" xfId="1906" xr:uid="{00000000-0005-0000-0000-000069090000}"/>
    <cellStyle name="표준 6 2 3 8" xfId="2652" xr:uid="{00000000-0005-0000-0000-00006A090000}"/>
    <cellStyle name="표준 6 2 4" xfId="229" xr:uid="{00000000-0005-0000-0000-00006B090000}"/>
    <cellStyle name="표준 6 2 4 2" xfId="721" xr:uid="{00000000-0005-0000-0000-00006C090000}"/>
    <cellStyle name="표준 6 2 4 3" xfId="1253" xr:uid="{00000000-0005-0000-0000-00006D090000}"/>
    <cellStyle name="표준 6 2 4 4" xfId="1561" xr:uid="{00000000-0005-0000-0000-00006E090000}"/>
    <cellStyle name="표준 6 2 4 5" xfId="1866" xr:uid="{00000000-0005-0000-0000-00006F090000}"/>
    <cellStyle name="표준 6 2 5" xfId="327" xr:uid="{00000000-0005-0000-0000-000070090000}"/>
    <cellStyle name="표준 6 2 5 2" xfId="859" xr:uid="{00000000-0005-0000-0000-000071090000}"/>
    <cellStyle name="표준 6 2 5 3" xfId="1392" xr:uid="{00000000-0005-0000-0000-000072090000}"/>
    <cellStyle name="표준 6 2 5 4" xfId="1700" xr:uid="{00000000-0005-0000-0000-000073090000}"/>
    <cellStyle name="표준 6 2 5 5" xfId="1984" xr:uid="{00000000-0005-0000-0000-000074090000}"/>
    <cellStyle name="표준 6 2 6" xfId="679" xr:uid="{00000000-0005-0000-0000-000075090000}"/>
    <cellStyle name="표준 6 2 6 2" xfId="2106" xr:uid="{00000000-0005-0000-0000-000076090000}"/>
    <cellStyle name="표준 6 2 7" xfId="985" xr:uid="{00000000-0005-0000-0000-000077090000}"/>
    <cellStyle name="표준 6 2 7 2" xfId="2328" xr:uid="{00000000-0005-0000-0000-000078090000}"/>
    <cellStyle name="표준 6 2 8" xfId="453" xr:uid="{00000000-0005-0000-0000-000079090000}"/>
    <cellStyle name="표준 6 2 9" xfId="1211" xr:uid="{00000000-0005-0000-0000-00007A090000}"/>
    <cellStyle name="표준 6 3" xfId="28" xr:uid="{00000000-0005-0000-0000-00007B090000}"/>
    <cellStyle name="표준 6 3 10" xfId="1507" xr:uid="{00000000-0005-0000-0000-00007C090000}"/>
    <cellStyle name="표준 6 3 11" xfId="1815" xr:uid="{00000000-0005-0000-0000-00007D090000}"/>
    <cellStyle name="표준 6 3 2" xfId="103" xr:uid="{00000000-0005-0000-0000-00007E090000}"/>
    <cellStyle name="표준 6 3 2 2" xfId="390" xr:uid="{00000000-0005-0000-0000-00007F090000}"/>
    <cellStyle name="표준 6 3 2 2 2" xfId="922" xr:uid="{00000000-0005-0000-0000-000080090000}"/>
    <cellStyle name="표준 6 3 2 2 2 2" xfId="2264" xr:uid="{00000000-0005-0000-0000-000081090000}"/>
    <cellStyle name="표준 6 3 2 2 3" xfId="1161" xr:uid="{00000000-0005-0000-0000-000082090000}"/>
    <cellStyle name="표준 6 3 2 2 3 2" xfId="2503" xr:uid="{00000000-0005-0000-0000-000083090000}"/>
    <cellStyle name="표준 6 3 2 2 4" xfId="629" xr:uid="{00000000-0005-0000-0000-000084090000}"/>
    <cellStyle name="표준 6 3 2 2 5" xfId="1455" xr:uid="{00000000-0005-0000-0000-000085090000}"/>
    <cellStyle name="표준 6 3 2 2 6" xfId="1763" xr:uid="{00000000-0005-0000-0000-000086090000}"/>
    <cellStyle name="표준 6 3 2 2 7" xfId="2043" xr:uid="{00000000-0005-0000-0000-000087090000}"/>
    <cellStyle name="표준 6 3 2 3" xfId="791" xr:uid="{00000000-0005-0000-0000-000088090000}"/>
    <cellStyle name="표준 6 3 2 3 2" xfId="2190" xr:uid="{00000000-0005-0000-0000-000089090000}"/>
    <cellStyle name="표준 6 3 2 4" xfId="1048" xr:uid="{00000000-0005-0000-0000-00008A090000}"/>
    <cellStyle name="표준 6 3 2 4 2" xfId="2391" xr:uid="{00000000-0005-0000-0000-00008B090000}"/>
    <cellStyle name="표준 6 3 2 5" xfId="516" xr:uid="{00000000-0005-0000-0000-00008C090000}"/>
    <cellStyle name="표준 6 3 2 6" xfId="1323" xr:uid="{00000000-0005-0000-0000-00008D090000}"/>
    <cellStyle name="표준 6 3 2 7" xfId="1631" xr:uid="{00000000-0005-0000-0000-00008E090000}"/>
    <cellStyle name="표준 6 3 2 8" xfId="261" xr:uid="{00000000-0005-0000-0000-00008F090000}"/>
    <cellStyle name="표준 6 3 2 9" xfId="184" xr:uid="{00000000-0005-0000-0000-000090090000}"/>
    <cellStyle name="표준 6 3 3" xfId="243" xr:uid="{00000000-0005-0000-0000-000091090000}"/>
    <cellStyle name="표준 6 3 3 2" xfId="750" xr:uid="{00000000-0005-0000-0000-000092090000}"/>
    <cellStyle name="표준 6 3 3 2 2" xfId="2151" xr:uid="{00000000-0005-0000-0000-000093090000}"/>
    <cellStyle name="표준 6 3 3 3" xfId="1086" xr:uid="{00000000-0005-0000-0000-000094090000}"/>
    <cellStyle name="표준 6 3 3 3 2" xfId="2428" xr:uid="{00000000-0005-0000-0000-000095090000}"/>
    <cellStyle name="표준 6 3 3 4" xfId="554" xr:uid="{00000000-0005-0000-0000-000096090000}"/>
    <cellStyle name="표준 6 3 3 5" xfId="1282" xr:uid="{00000000-0005-0000-0000-000097090000}"/>
    <cellStyle name="표준 6 3 3 6" xfId="1590" xr:uid="{00000000-0005-0000-0000-000098090000}"/>
    <cellStyle name="표준 6 3 3 7" xfId="1894" xr:uid="{00000000-0005-0000-0000-000099090000}"/>
    <cellStyle name="표준 6 3 3 8" xfId="2653" xr:uid="{00000000-0005-0000-0000-00009A090000}"/>
    <cellStyle name="표준 6 3 4" xfId="217" xr:uid="{00000000-0005-0000-0000-00009B090000}"/>
    <cellStyle name="표준 6 3 4 2" xfId="709" xr:uid="{00000000-0005-0000-0000-00009C090000}"/>
    <cellStyle name="표준 6 3 4 3" xfId="1241" xr:uid="{00000000-0005-0000-0000-00009D090000}"/>
    <cellStyle name="표준 6 3 4 4" xfId="1549" xr:uid="{00000000-0005-0000-0000-00009E090000}"/>
    <cellStyle name="표준 6 3 4 5" xfId="1855" xr:uid="{00000000-0005-0000-0000-00009F090000}"/>
    <cellStyle name="표준 6 3 5" xfId="315" xr:uid="{00000000-0005-0000-0000-0000A0090000}"/>
    <cellStyle name="표준 6 3 5 2" xfId="847" xr:uid="{00000000-0005-0000-0000-0000A1090000}"/>
    <cellStyle name="표준 6 3 5 3" xfId="1380" xr:uid="{00000000-0005-0000-0000-0000A2090000}"/>
    <cellStyle name="표준 6 3 5 4" xfId="1688" xr:uid="{00000000-0005-0000-0000-0000A3090000}"/>
    <cellStyle name="표준 6 3 5 5" xfId="1972" xr:uid="{00000000-0005-0000-0000-0000A4090000}"/>
    <cellStyle name="표준 6 3 6" xfId="667" xr:uid="{00000000-0005-0000-0000-0000A5090000}"/>
    <cellStyle name="표준 6 3 6 2" xfId="2094" xr:uid="{00000000-0005-0000-0000-0000A6090000}"/>
    <cellStyle name="표준 6 3 7" xfId="973" xr:uid="{00000000-0005-0000-0000-0000A7090000}"/>
    <cellStyle name="표준 6 3 7 2" xfId="2316" xr:uid="{00000000-0005-0000-0000-0000A8090000}"/>
    <cellStyle name="표준 6 3 8" xfId="441" xr:uid="{00000000-0005-0000-0000-0000A9090000}"/>
    <cellStyle name="표준 6 3 9" xfId="1199" xr:uid="{00000000-0005-0000-0000-0000AA090000}"/>
    <cellStyle name="표준 6 4" xfId="58" xr:uid="{00000000-0005-0000-0000-0000AB090000}"/>
    <cellStyle name="표준 6 4 2" xfId="345" xr:uid="{00000000-0005-0000-0000-0000AC090000}"/>
    <cellStyle name="표준 6 4 2 2" xfId="877" xr:uid="{00000000-0005-0000-0000-0000AD090000}"/>
    <cellStyle name="표준 6 4 2 2 2" xfId="2219" xr:uid="{00000000-0005-0000-0000-0000AE090000}"/>
    <cellStyle name="표준 6 4 2 3" xfId="1116" xr:uid="{00000000-0005-0000-0000-0000AF090000}"/>
    <cellStyle name="표준 6 4 2 3 2" xfId="2458" xr:uid="{00000000-0005-0000-0000-0000B0090000}"/>
    <cellStyle name="표준 6 4 2 4" xfId="584" xr:uid="{00000000-0005-0000-0000-0000B1090000}"/>
    <cellStyle name="표준 6 4 2 5" xfId="1410" xr:uid="{00000000-0005-0000-0000-0000B2090000}"/>
    <cellStyle name="표준 6 4 2 6" xfId="1718" xr:uid="{00000000-0005-0000-0000-0000B3090000}"/>
    <cellStyle name="표준 6 4 2 7" xfId="2000" xr:uid="{00000000-0005-0000-0000-0000B4090000}"/>
    <cellStyle name="표준 6 4 2 8" xfId="2655" xr:uid="{00000000-0005-0000-0000-0000B5090000}"/>
    <cellStyle name="표준 6 4 3" xfId="779" xr:uid="{00000000-0005-0000-0000-0000B6090000}"/>
    <cellStyle name="표준 6 4 3 2" xfId="2178" xr:uid="{00000000-0005-0000-0000-0000B7090000}"/>
    <cellStyle name="표준 6 4 4" xfId="1003" xr:uid="{00000000-0005-0000-0000-0000B8090000}"/>
    <cellStyle name="표준 6 4 4 2" xfId="2346" xr:uid="{00000000-0005-0000-0000-0000B9090000}"/>
    <cellStyle name="표준 6 4 5" xfId="471" xr:uid="{00000000-0005-0000-0000-0000BA090000}"/>
    <cellStyle name="표준 6 4 6" xfId="1311" xr:uid="{00000000-0005-0000-0000-0000BB090000}"/>
    <cellStyle name="표준 6 4 7" xfId="1619" xr:uid="{00000000-0005-0000-0000-0000BC090000}"/>
    <cellStyle name="표준 6 4 8" xfId="1919" xr:uid="{00000000-0005-0000-0000-0000BD090000}"/>
    <cellStyle name="표준 6 4 9" xfId="2654" xr:uid="{00000000-0005-0000-0000-0000BE090000}"/>
    <cellStyle name="표준 6 5" xfId="73" xr:uid="{00000000-0005-0000-0000-0000BF090000}"/>
    <cellStyle name="표준 6 5 2" xfId="360" xr:uid="{00000000-0005-0000-0000-0000C0090000}"/>
    <cellStyle name="표준 6 5 2 2" xfId="892" xr:uid="{00000000-0005-0000-0000-0000C1090000}"/>
    <cellStyle name="표준 6 5 2 2 2" xfId="2234" xr:uid="{00000000-0005-0000-0000-0000C2090000}"/>
    <cellStyle name="표준 6 5 2 3" xfId="1131" xr:uid="{00000000-0005-0000-0000-0000C3090000}"/>
    <cellStyle name="표준 6 5 2 3 2" xfId="2473" xr:uid="{00000000-0005-0000-0000-0000C4090000}"/>
    <cellStyle name="표준 6 5 2 4" xfId="599" xr:uid="{00000000-0005-0000-0000-0000C5090000}"/>
    <cellStyle name="표준 6 5 2 5" xfId="1425" xr:uid="{00000000-0005-0000-0000-0000C6090000}"/>
    <cellStyle name="표준 6 5 2 6" xfId="1733" xr:uid="{00000000-0005-0000-0000-0000C7090000}"/>
    <cellStyle name="표준 6 5 2 7" xfId="2014" xr:uid="{00000000-0005-0000-0000-0000C8090000}"/>
    <cellStyle name="표준 6 5 3" xfId="738" xr:uid="{00000000-0005-0000-0000-0000C9090000}"/>
    <cellStyle name="표준 6 5 3 2" xfId="2139" xr:uid="{00000000-0005-0000-0000-0000CA090000}"/>
    <cellStyle name="표준 6 5 4" xfId="1018" xr:uid="{00000000-0005-0000-0000-0000CB090000}"/>
    <cellStyle name="표준 6 5 4 2" xfId="2361" xr:uid="{00000000-0005-0000-0000-0000CC090000}"/>
    <cellStyle name="표준 6 5 5" xfId="486" xr:uid="{00000000-0005-0000-0000-0000CD090000}"/>
    <cellStyle name="표준 6 5 6" xfId="1270" xr:uid="{00000000-0005-0000-0000-0000CE090000}"/>
    <cellStyle name="표준 6 5 7" xfId="1578" xr:uid="{00000000-0005-0000-0000-0000CF090000}"/>
    <cellStyle name="표준 6 5 8" xfId="1883" xr:uid="{00000000-0005-0000-0000-0000D0090000}"/>
    <cellStyle name="표준 6 5 9" xfId="2656" xr:uid="{00000000-0005-0000-0000-0000D1090000}"/>
    <cellStyle name="표준 6 6" xfId="88" xr:uid="{00000000-0005-0000-0000-0000D2090000}"/>
    <cellStyle name="표준 6 6 2" xfId="375" xr:uid="{00000000-0005-0000-0000-0000D3090000}"/>
    <cellStyle name="표준 6 6 2 2" xfId="907" xr:uid="{00000000-0005-0000-0000-0000D4090000}"/>
    <cellStyle name="표준 6 6 2 2 2" xfId="2249" xr:uid="{00000000-0005-0000-0000-0000D5090000}"/>
    <cellStyle name="표준 6 6 2 3" xfId="1146" xr:uid="{00000000-0005-0000-0000-0000D6090000}"/>
    <cellStyle name="표준 6 6 2 3 2" xfId="2488" xr:uid="{00000000-0005-0000-0000-0000D7090000}"/>
    <cellStyle name="표준 6 6 2 4" xfId="614" xr:uid="{00000000-0005-0000-0000-0000D8090000}"/>
    <cellStyle name="표준 6 6 2 5" xfId="1440" xr:uid="{00000000-0005-0000-0000-0000D9090000}"/>
    <cellStyle name="표준 6 6 2 6" xfId="1748" xr:uid="{00000000-0005-0000-0000-0000DA090000}"/>
    <cellStyle name="표준 6 6 2 7" xfId="2029" xr:uid="{00000000-0005-0000-0000-0000DB090000}"/>
    <cellStyle name="표준 6 6 3" xfId="697" xr:uid="{00000000-0005-0000-0000-0000DC090000}"/>
    <cellStyle name="표준 6 6 3 2" xfId="2124" xr:uid="{00000000-0005-0000-0000-0000DD090000}"/>
    <cellStyle name="표준 6 6 4" xfId="1033" xr:uid="{00000000-0005-0000-0000-0000DE090000}"/>
    <cellStyle name="표준 6 6 4 2" xfId="2376" xr:uid="{00000000-0005-0000-0000-0000DF090000}"/>
    <cellStyle name="표준 6 6 5" xfId="501" xr:uid="{00000000-0005-0000-0000-0000E0090000}"/>
    <cellStyle name="표준 6 6 6" xfId="1229" xr:uid="{00000000-0005-0000-0000-0000E1090000}"/>
    <cellStyle name="표준 6 6 7" xfId="1537" xr:uid="{00000000-0005-0000-0000-0000E2090000}"/>
    <cellStyle name="표준 6 6 8" xfId="1843" xr:uid="{00000000-0005-0000-0000-0000E3090000}"/>
    <cellStyle name="표준 6 6 9" xfId="2657" xr:uid="{00000000-0005-0000-0000-0000E4090000}"/>
    <cellStyle name="표준 6 7" xfId="414" xr:uid="{00000000-0005-0000-0000-0000E5090000}"/>
    <cellStyle name="표준 6 7 2" xfId="946" xr:uid="{00000000-0005-0000-0000-0000E6090000}"/>
    <cellStyle name="표준 6 7 2 2" xfId="2289" xr:uid="{00000000-0005-0000-0000-0000E7090000}"/>
    <cellStyle name="표준 6 7 3" xfId="1074" xr:uid="{00000000-0005-0000-0000-0000E8090000}"/>
    <cellStyle name="표준 6 7 3 2" xfId="2416" xr:uid="{00000000-0005-0000-0000-0000E9090000}"/>
    <cellStyle name="표준 6 7 4" xfId="542" xr:uid="{00000000-0005-0000-0000-0000EA090000}"/>
    <cellStyle name="표준 6 7 5" xfId="1480" xr:uid="{00000000-0005-0000-0000-0000EB090000}"/>
    <cellStyle name="표준 6 7 6" xfId="1788" xr:uid="{00000000-0005-0000-0000-0000EC090000}"/>
    <cellStyle name="표준 6 7 7" xfId="2067" xr:uid="{00000000-0005-0000-0000-0000ED090000}"/>
    <cellStyle name="표준 6 7 8" xfId="2658" xr:uid="{00000000-0005-0000-0000-0000EE090000}"/>
    <cellStyle name="표준 6 8" xfId="303" xr:uid="{00000000-0005-0000-0000-0000EF090000}"/>
    <cellStyle name="표준 6 8 2" xfId="835" xr:uid="{00000000-0005-0000-0000-0000F0090000}"/>
    <cellStyle name="표준 6 8 3" xfId="1368" xr:uid="{00000000-0005-0000-0000-0000F1090000}"/>
    <cellStyle name="표준 6 8 4" xfId="1676" xr:uid="{00000000-0005-0000-0000-0000F2090000}"/>
    <cellStyle name="표준 6 8 5" xfId="1960" xr:uid="{00000000-0005-0000-0000-0000F3090000}"/>
    <cellStyle name="표준 6 9" xfId="288" xr:uid="{00000000-0005-0000-0000-0000F4090000}"/>
    <cellStyle name="표준 6 9 2" xfId="820" xr:uid="{00000000-0005-0000-0000-0000F5090000}"/>
    <cellStyle name="표준 6 9 3" xfId="1353" xr:uid="{00000000-0005-0000-0000-0000F6090000}"/>
    <cellStyle name="표준 6 9 4" xfId="1661" xr:uid="{00000000-0005-0000-0000-0000F7090000}"/>
    <cellStyle name="표준 6 9 5" xfId="1945" xr:uid="{00000000-0005-0000-0000-0000F8090000}"/>
    <cellStyle name="표준 7" xfId="44" xr:uid="{00000000-0005-0000-0000-0000F9090000}"/>
    <cellStyle name="표준 7 10" xfId="1523" xr:uid="{00000000-0005-0000-0000-0000FA090000}"/>
    <cellStyle name="표준 7 11" xfId="1831" xr:uid="{00000000-0005-0000-0000-0000FB090000}"/>
    <cellStyle name="표준 7 12" xfId="140" xr:uid="{00000000-0005-0000-0000-0000FC090000}"/>
    <cellStyle name="표준 7 2" xfId="116" xr:uid="{00000000-0005-0000-0000-0000FD090000}"/>
    <cellStyle name="표준 7 2 2" xfId="185" xr:uid="{00000000-0005-0000-0000-0000FE090000}"/>
    <cellStyle name="표준 7 2 2 2" xfId="934" xr:uid="{00000000-0005-0000-0000-0000FF090000}"/>
    <cellStyle name="표준 7 2 2 2 2" xfId="2277" xr:uid="{00000000-0005-0000-0000-0000000A0000}"/>
    <cellStyle name="표준 7 2 2 3" xfId="1174" xr:uid="{00000000-0005-0000-0000-0000010A0000}"/>
    <cellStyle name="표준 7 2 2 3 2" xfId="2516" xr:uid="{00000000-0005-0000-0000-0000020A0000}"/>
    <cellStyle name="표준 7 2 2 4" xfId="642" xr:uid="{00000000-0005-0000-0000-0000030A0000}"/>
    <cellStyle name="표준 7 2 2 5" xfId="1468" xr:uid="{00000000-0005-0000-0000-0000040A0000}"/>
    <cellStyle name="표준 7 2 2 6" xfId="1776" xr:uid="{00000000-0005-0000-0000-0000050A0000}"/>
    <cellStyle name="표준 7 2 2 7" xfId="402" xr:uid="{00000000-0005-0000-0000-0000060A0000}"/>
    <cellStyle name="표준 7 2 3" xfId="807" xr:uid="{00000000-0005-0000-0000-0000070A0000}"/>
    <cellStyle name="표준 7 2 3 2" xfId="2205" xr:uid="{00000000-0005-0000-0000-0000080A0000}"/>
    <cellStyle name="표준 7 2 4" xfId="1061" xr:uid="{00000000-0005-0000-0000-0000090A0000}"/>
    <cellStyle name="표준 7 2 4 2" xfId="2404" xr:uid="{00000000-0005-0000-0000-00000A0A0000}"/>
    <cellStyle name="표준 7 2 5" xfId="529" xr:uid="{00000000-0005-0000-0000-00000B0A0000}"/>
    <cellStyle name="표준 7 2 6" xfId="1339" xr:uid="{00000000-0005-0000-0000-00000C0A0000}"/>
    <cellStyle name="표준 7 2 7" xfId="1647" xr:uid="{00000000-0005-0000-0000-00000D0A0000}"/>
    <cellStyle name="표준 7 2 8" xfId="1932" xr:uid="{00000000-0005-0000-0000-00000E0A0000}"/>
    <cellStyle name="표준 7 3" xfId="256" xr:uid="{00000000-0005-0000-0000-00000F0A0000}"/>
    <cellStyle name="표준 7 3 2" xfId="766" xr:uid="{00000000-0005-0000-0000-0000100A0000}"/>
    <cellStyle name="표준 7 3 2 2" xfId="2166" xr:uid="{00000000-0005-0000-0000-0000110A0000}"/>
    <cellStyle name="표준 7 3 3" xfId="1102" xr:uid="{00000000-0005-0000-0000-0000120A0000}"/>
    <cellStyle name="표준 7 3 3 2" xfId="2444" xr:uid="{00000000-0005-0000-0000-0000130A0000}"/>
    <cellStyle name="표준 7 3 4" xfId="570" xr:uid="{00000000-0005-0000-0000-0000140A0000}"/>
    <cellStyle name="표준 7 3 5" xfId="1298" xr:uid="{00000000-0005-0000-0000-0000150A0000}"/>
    <cellStyle name="표준 7 3 6" xfId="1606" xr:uid="{00000000-0005-0000-0000-0000160A0000}"/>
    <cellStyle name="표준 7 3 7" xfId="1909" xr:uid="{00000000-0005-0000-0000-0000170A0000}"/>
    <cellStyle name="표준 7 4" xfId="230" xr:uid="{00000000-0005-0000-0000-0000180A0000}"/>
    <cellStyle name="표준 7 4 2" xfId="725" xr:uid="{00000000-0005-0000-0000-0000190A0000}"/>
    <cellStyle name="표준 7 4 3" xfId="1257" xr:uid="{00000000-0005-0000-0000-00001A0A0000}"/>
    <cellStyle name="표준 7 4 4" xfId="1565" xr:uid="{00000000-0005-0000-0000-00001B0A0000}"/>
    <cellStyle name="표준 7 4 5" xfId="1870" xr:uid="{00000000-0005-0000-0000-00001C0A0000}"/>
    <cellStyle name="표준 7 5" xfId="331" xr:uid="{00000000-0005-0000-0000-00001D0A0000}"/>
    <cellStyle name="표준 7 5 2" xfId="863" xr:uid="{00000000-0005-0000-0000-00001E0A0000}"/>
    <cellStyle name="표준 7 5 3" xfId="1396" xr:uid="{00000000-0005-0000-0000-00001F0A0000}"/>
    <cellStyle name="표준 7 5 4" xfId="1704" xr:uid="{00000000-0005-0000-0000-0000200A0000}"/>
    <cellStyle name="표준 7 5 5" xfId="1988" xr:uid="{00000000-0005-0000-0000-0000210A0000}"/>
    <cellStyle name="표준 7 6" xfId="683" xr:uid="{00000000-0005-0000-0000-0000220A0000}"/>
    <cellStyle name="표준 7 6 2" xfId="2110" xr:uid="{00000000-0005-0000-0000-0000230A0000}"/>
    <cellStyle name="표준 7 7" xfId="989" xr:uid="{00000000-0005-0000-0000-0000240A0000}"/>
    <cellStyle name="표준 7 7 2" xfId="2332" xr:uid="{00000000-0005-0000-0000-0000250A0000}"/>
    <cellStyle name="표준 7 8" xfId="457" xr:uid="{00000000-0005-0000-0000-0000260A0000}"/>
    <cellStyle name="표준 7 9" xfId="1215" xr:uid="{00000000-0005-0000-0000-0000270A0000}"/>
    <cellStyle name="표준 8" xfId="45" xr:uid="{00000000-0005-0000-0000-0000280A0000}"/>
    <cellStyle name="표준 8 10" xfId="1524" xr:uid="{00000000-0005-0000-0000-0000290A0000}"/>
    <cellStyle name="표준 8 11" xfId="1832" xr:uid="{00000000-0005-0000-0000-00002A0A0000}"/>
    <cellStyle name="표준 8 12" xfId="121" xr:uid="{00000000-0005-0000-0000-00002B0A0000}"/>
    <cellStyle name="표준 8 2" xfId="187" xr:uid="{00000000-0005-0000-0000-00002C0A0000}"/>
    <cellStyle name="표준 8 2 2" xfId="204" xr:uid="{00000000-0005-0000-0000-00002D0A0000}"/>
    <cellStyle name="표준 8 2 2 2" xfId="2206" xr:uid="{00000000-0005-0000-0000-00002E0A0000}"/>
    <cellStyle name="표준 8 2 2 3" xfId="2660" xr:uid="{00000000-0005-0000-0000-00002F0A0000}"/>
    <cellStyle name="표준 8 2 3" xfId="1103" xr:uid="{00000000-0005-0000-0000-0000300A0000}"/>
    <cellStyle name="표준 8 2 3 2" xfId="2445" xr:uid="{00000000-0005-0000-0000-0000310A0000}"/>
    <cellStyle name="표준 8 2 4" xfId="571" xr:uid="{00000000-0005-0000-0000-0000320A0000}"/>
    <cellStyle name="표준 8 2 5" xfId="1340" xr:uid="{00000000-0005-0000-0000-0000330A0000}"/>
    <cellStyle name="표준 8 2 6" xfId="1648" xr:uid="{00000000-0005-0000-0000-0000340A0000}"/>
    <cellStyle name="표준 8 2 7" xfId="1933" xr:uid="{00000000-0005-0000-0000-0000350A0000}"/>
    <cellStyle name="표준 8 2 8" xfId="2659" xr:uid="{00000000-0005-0000-0000-0000360A0000}"/>
    <cellStyle name="표준 8 3" xfId="257" xr:uid="{00000000-0005-0000-0000-0000370A0000}"/>
    <cellStyle name="표준 8 3 2" xfId="767" xr:uid="{00000000-0005-0000-0000-0000380A0000}"/>
    <cellStyle name="표준 8 3 3" xfId="1299" xr:uid="{00000000-0005-0000-0000-0000390A0000}"/>
    <cellStyle name="표준 8 3 4" xfId="1607" xr:uid="{00000000-0005-0000-0000-00003A0A0000}"/>
    <cellStyle name="표준 8 3 5" xfId="1910" xr:uid="{00000000-0005-0000-0000-00003B0A0000}"/>
    <cellStyle name="표준 8 4" xfId="231" xr:uid="{00000000-0005-0000-0000-00003C0A0000}"/>
    <cellStyle name="표준 8 4 2" xfId="726" xr:uid="{00000000-0005-0000-0000-00003D0A0000}"/>
    <cellStyle name="표준 8 4 3" xfId="1258" xr:uid="{00000000-0005-0000-0000-00003E0A0000}"/>
    <cellStyle name="표준 8 4 4" xfId="1566" xr:uid="{00000000-0005-0000-0000-00003F0A0000}"/>
    <cellStyle name="표준 8 4 5" xfId="1871" xr:uid="{00000000-0005-0000-0000-0000400A0000}"/>
    <cellStyle name="표준 8 5" xfId="332" xr:uid="{00000000-0005-0000-0000-0000410A0000}"/>
    <cellStyle name="표준 8 5 2" xfId="864" xr:uid="{00000000-0005-0000-0000-0000420A0000}"/>
    <cellStyle name="표준 8 5 3" xfId="1397" xr:uid="{00000000-0005-0000-0000-0000430A0000}"/>
    <cellStyle name="표준 8 5 4" xfId="1705" xr:uid="{00000000-0005-0000-0000-0000440A0000}"/>
    <cellStyle name="표준 8 5 5" xfId="1989" xr:uid="{00000000-0005-0000-0000-0000450A0000}"/>
    <cellStyle name="표준 8 6" xfId="684" xr:uid="{00000000-0005-0000-0000-0000460A0000}"/>
    <cellStyle name="표준 8 6 2" xfId="2111" xr:uid="{00000000-0005-0000-0000-0000470A0000}"/>
    <cellStyle name="표준 8 7" xfId="990" xr:uid="{00000000-0005-0000-0000-0000480A0000}"/>
    <cellStyle name="표준 8 7 2" xfId="2333" xr:uid="{00000000-0005-0000-0000-0000490A0000}"/>
    <cellStyle name="표준 8 8" xfId="458" xr:uid="{00000000-0005-0000-0000-00004A0A0000}"/>
    <cellStyle name="표준 8 9" xfId="1216" xr:uid="{00000000-0005-0000-0000-00004B0A0000}"/>
    <cellStyle name="표준 9" xfId="46" xr:uid="{00000000-0005-0000-0000-00004C0A0000}"/>
    <cellStyle name="표준 9 10" xfId="143" xr:uid="{00000000-0005-0000-0000-00004D0A0000}"/>
    <cellStyle name="표준 9 2" xfId="152" xr:uid="{00000000-0005-0000-0000-00004E0A0000}"/>
    <cellStyle name="표준 9 2 2" xfId="808" xr:uid="{00000000-0005-0000-0000-00004F0A0000}"/>
    <cellStyle name="표준 9 2 2 2" xfId="2207" xr:uid="{00000000-0005-0000-0000-0000500A0000}"/>
    <cellStyle name="표준 9 2 3" xfId="1104" xr:uid="{00000000-0005-0000-0000-0000510A0000}"/>
    <cellStyle name="표준 9 2 3 2" xfId="2446" xr:uid="{00000000-0005-0000-0000-0000520A0000}"/>
    <cellStyle name="표준 9 2 4" xfId="572" xr:uid="{00000000-0005-0000-0000-0000530A0000}"/>
    <cellStyle name="표준 9 2 5" xfId="1341" xr:uid="{00000000-0005-0000-0000-0000540A0000}"/>
    <cellStyle name="표준 9 2 6" xfId="1649" xr:uid="{00000000-0005-0000-0000-0000550A0000}"/>
    <cellStyle name="표준 9 2 7" xfId="276" xr:uid="{00000000-0005-0000-0000-0000560A0000}"/>
    <cellStyle name="표준 9 3" xfId="186" xr:uid="{00000000-0005-0000-0000-0000570A0000}"/>
    <cellStyle name="표준 9 3 2" xfId="865" xr:uid="{00000000-0005-0000-0000-0000580A0000}"/>
    <cellStyle name="표준 9 3 2 2" xfId="2661" xr:uid="{00000000-0005-0000-0000-0000590A0000}"/>
    <cellStyle name="표준 9 3 3" xfId="1398" xr:uid="{00000000-0005-0000-0000-00005A0A0000}"/>
    <cellStyle name="표준 9 3 4" xfId="1706" xr:uid="{00000000-0005-0000-0000-00005B0A0000}"/>
    <cellStyle name="표준 9 3 5" xfId="333" xr:uid="{00000000-0005-0000-0000-00005C0A0000}"/>
    <cellStyle name="표준 9 4" xfId="685" xr:uid="{00000000-0005-0000-0000-00005D0A0000}"/>
    <cellStyle name="표준 9 4 2" xfId="2112" xr:uid="{00000000-0005-0000-0000-00005E0A0000}"/>
    <cellStyle name="표준 9 4 3" xfId="2662" xr:uid="{00000000-0005-0000-0000-00005F0A0000}"/>
    <cellStyle name="표준 9 5" xfId="991" xr:uid="{00000000-0005-0000-0000-0000600A0000}"/>
    <cellStyle name="표준 9 5 2" xfId="2334" xr:uid="{00000000-0005-0000-0000-0000610A0000}"/>
    <cellStyle name="표준 9 6" xfId="459" xr:uid="{00000000-0005-0000-0000-0000620A0000}"/>
    <cellStyle name="표준 9 7" xfId="1217" xr:uid="{00000000-0005-0000-0000-0000630A0000}"/>
    <cellStyle name="표준 9 8" xfId="1525" xr:uid="{00000000-0005-0000-0000-0000640A0000}"/>
    <cellStyle name="표준 9 9" xfId="205" xr:uid="{00000000-0005-0000-0000-0000650A0000}"/>
    <cellStyle name="標準_PnComp[1]" xfId="153" xr:uid="{00000000-0005-0000-0000-000066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182</xdr:row>
      <xdr:rowOff>180975</xdr:rowOff>
    </xdr:from>
    <xdr:to>
      <xdr:col>13</xdr:col>
      <xdr:colOff>183982</xdr:colOff>
      <xdr:row>212</xdr:row>
      <xdr:rowOff>199237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5C583E6-C492-4537-BB8C-E177CB5C3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1594425"/>
          <a:ext cx="11800000" cy="6304762"/>
        </a:xfrm>
        <a:prstGeom prst="rect">
          <a:avLst/>
        </a:prstGeom>
      </xdr:spPr>
    </xdr:pic>
    <xdr:clientData/>
  </xdr:twoCellAnchor>
  <xdr:twoCellAnchor>
    <xdr:from>
      <xdr:col>3</xdr:col>
      <xdr:colOff>790575</xdr:colOff>
      <xdr:row>192</xdr:row>
      <xdr:rowOff>28575</xdr:rowOff>
    </xdr:from>
    <xdr:to>
      <xdr:col>4</xdr:col>
      <xdr:colOff>171450</xdr:colOff>
      <xdr:row>193</xdr:row>
      <xdr:rowOff>57150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B857D29B-1276-4469-982B-249F7FC85EEC}"/>
            </a:ext>
          </a:extLst>
        </xdr:cNvPr>
        <xdr:cNvSpPr/>
      </xdr:nvSpPr>
      <xdr:spPr>
        <a:xfrm>
          <a:off x="3152775" y="33537525"/>
          <a:ext cx="923925" cy="238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180975</xdr:colOff>
      <xdr:row>192</xdr:row>
      <xdr:rowOff>28575</xdr:rowOff>
    </xdr:from>
    <xdr:to>
      <xdr:col>7</xdr:col>
      <xdr:colOff>514350</xdr:colOff>
      <xdr:row>193</xdr:row>
      <xdr:rowOff>57150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29D5833-F6E0-43A0-9CB4-63C5761B294E}"/>
            </a:ext>
          </a:extLst>
        </xdr:cNvPr>
        <xdr:cNvSpPr/>
      </xdr:nvSpPr>
      <xdr:spPr>
        <a:xfrm>
          <a:off x="4981575" y="33537525"/>
          <a:ext cx="923925" cy="238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514350</xdr:colOff>
      <xdr:row>192</xdr:row>
      <xdr:rowOff>38100</xdr:rowOff>
    </xdr:from>
    <xdr:to>
      <xdr:col>9</xdr:col>
      <xdr:colOff>590550</xdr:colOff>
      <xdr:row>193</xdr:row>
      <xdr:rowOff>66675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A7FC31F2-ADC0-4D09-BBF7-09F3B61950C6}"/>
            </a:ext>
          </a:extLst>
        </xdr:cNvPr>
        <xdr:cNvSpPr/>
      </xdr:nvSpPr>
      <xdr:spPr>
        <a:xfrm>
          <a:off x="6791325" y="33547050"/>
          <a:ext cx="923925" cy="238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676275</xdr:colOff>
      <xdr:row>191</xdr:row>
      <xdr:rowOff>47625</xdr:rowOff>
    </xdr:from>
    <xdr:to>
      <xdr:col>12</xdr:col>
      <xdr:colOff>171450</xdr:colOff>
      <xdr:row>192</xdr:row>
      <xdr:rowOff>76200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2AC26664-6A1A-4FAD-BEB2-93A198DA56B9}"/>
            </a:ext>
          </a:extLst>
        </xdr:cNvPr>
        <xdr:cNvSpPr/>
      </xdr:nvSpPr>
      <xdr:spPr>
        <a:xfrm>
          <a:off x="8629650" y="33556575"/>
          <a:ext cx="923925" cy="238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219075</xdr:colOff>
      <xdr:row>151</xdr:row>
      <xdr:rowOff>0</xdr:rowOff>
    </xdr:from>
    <xdr:to>
      <xdr:col>13</xdr:col>
      <xdr:colOff>224758</xdr:colOff>
      <xdr:row>182</xdr:row>
      <xdr:rowOff>19051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0E67615-40A5-4261-BD01-C615146CC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2800" y="33337500"/>
          <a:ext cx="5335201" cy="6515101"/>
        </a:xfrm>
        <a:prstGeom prst="rect">
          <a:avLst/>
        </a:prstGeom>
      </xdr:spPr>
    </xdr:pic>
    <xdr:clientData/>
  </xdr:twoCellAnchor>
  <xdr:twoCellAnchor>
    <xdr:from>
      <xdr:col>8</xdr:col>
      <xdr:colOff>504826</xdr:colOff>
      <xdr:row>157</xdr:row>
      <xdr:rowOff>200025</xdr:rowOff>
    </xdr:from>
    <xdr:to>
      <xdr:col>9</xdr:col>
      <xdr:colOff>19051</xdr:colOff>
      <xdr:row>159</xdr:row>
      <xdr:rowOff>19050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366D0456-FDFC-4E8C-B368-91CDDE7E9AD7}"/>
            </a:ext>
          </a:extLst>
        </xdr:cNvPr>
        <xdr:cNvSpPr/>
      </xdr:nvSpPr>
      <xdr:spPr>
        <a:xfrm>
          <a:off x="6781801" y="26374725"/>
          <a:ext cx="361950" cy="238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504826</xdr:colOff>
      <xdr:row>160</xdr:row>
      <xdr:rowOff>190500</xdr:rowOff>
    </xdr:from>
    <xdr:to>
      <xdr:col>9</xdr:col>
      <xdr:colOff>19051</xdr:colOff>
      <xdr:row>162</xdr:row>
      <xdr:rowOff>9525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1DFC5A66-30DB-44AD-A709-88CADD4CD760}"/>
            </a:ext>
          </a:extLst>
        </xdr:cNvPr>
        <xdr:cNvSpPr/>
      </xdr:nvSpPr>
      <xdr:spPr>
        <a:xfrm>
          <a:off x="6781801" y="26993850"/>
          <a:ext cx="361950" cy="238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504826</xdr:colOff>
      <xdr:row>164</xdr:row>
      <xdr:rowOff>38100</xdr:rowOff>
    </xdr:from>
    <xdr:to>
      <xdr:col>9</xdr:col>
      <xdr:colOff>19051</xdr:colOff>
      <xdr:row>165</xdr:row>
      <xdr:rowOff>66675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29B20D02-1F7A-495B-8F67-650DDCA9FEDD}"/>
            </a:ext>
          </a:extLst>
        </xdr:cNvPr>
        <xdr:cNvSpPr/>
      </xdr:nvSpPr>
      <xdr:spPr>
        <a:xfrm>
          <a:off x="6781801" y="27679650"/>
          <a:ext cx="361950" cy="238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504826</xdr:colOff>
      <xdr:row>170</xdr:row>
      <xdr:rowOff>76200</xdr:rowOff>
    </xdr:from>
    <xdr:to>
      <xdr:col>9</xdr:col>
      <xdr:colOff>19051</xdr:colOff>
      <xdr:row>171</xdr:row>
      <xdr:rowOff>104775</xdr:rowOff>
    </xdr:to>
    <xdr:sp macro="" textlink="">
      <xdr:nvSpPr>
        <xdr:cNvPr id="12" name="사각형: 둥근 모서리 11">
          <a:extLst>
            <a:ext uri="{FF2B5EF4-FFF2-40B4-BE49-F238E27FC236}">
              <a16:creationId xmlns:a16="http://schemas.microsoft.com/office/drawing/2014/main" id="{62E8D0C3-E599-42D1-B768-0E5E1A754712}"/>
            </a:ext>
          </a:extLst>
        </xdr:cNvPr>
        <xdr:cNvSpPr/>
      </xdr:nvSpPr>
      <xdr:spPr>
        <a:xfrm>
          <a:off x="6781801" y="28975050"/>
          <a:ext cx="361950" cy="238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504825</xdr:colOff>
      <xdr:row>173</xdr:row>
      <xdr:rowOff>161925</xdr:rowOff>
    </xdr:from>
    <xdr:to>
      <xdr:col>9</xdr:col>
      <xdr:colOff>19050</xdr:colOff>
      <xdr:row>174</xdr:row>
      <xdr:rowOff>190500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C6548AB5-3B29-47A9-A3FE-CE45C6AA90DE}"/>
            </a:ext>
          </a:extLst>
        </xdr:cNvPr>
        <xdr:cNvSpPr/>
      </xdr:nvSpPr>
      <xdr:spPr>
        <a:xfrm>
          <a:off x="6781800" y="29689425"/>
          <a:ext cx="361950" cy="238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514350</xdr:colOff>
      <xdr:row>192</xdr:row>
      <xdr:rowOff>38100</xdr:rowOff>
    </xdr:from>
    <xdr:to>
      <xdr:col>19</xdr:col>
      <xdr:colOff>590550</xdr:colOff>
      <xdr:row>193</xdr:row>
      <xdr:rowOff>66675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2465B177-65B1-43B0-9A53-5607587CFF6D}"/>
            </a:ext>
          </a:extLst>
        </xdr:cNvPr>
        <xdr:cNvSpPr/>
      </xdr:nvSpPr>
      <xdr:spPr>
        <a:xfrm>
          <a:off x="8593791" y="41600718"/>
          <a:ext cx="927847" cy="241486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504826</xdr:colOff>
      <xdr:row>157</xdr:row>
      <xdr:rowOff>200025</xdr:rowOff>
    </xdr:from>
    <xdr:to>
      <xdr:col>19</xdr:col>
      <xdr:colOff>19051</xdr:colOff>
      <xdr:row>159</xdr:row>
      <xdr:rowOff>19050</xdr:rowOff>
    </xdr:to>
    <xdr:sp macro="" textlink="">
      <xdr:nvSpPr>
        <xdr:cNvPr id="14" name="사각형: 둥근 모서리 13">
          <a:extLst>
            <a:ext uri="{FF2B5EF4-FFF2-40B4-BE49-F238E27FC236}">
              <a16:creationId xmlns:a16="http://schemas.microsoft.com/office/drawing/2014/main" id="{8D077CB8-E259-484A-AD22-0404F84D390A}"/>
            </a:ext>
          </a:extLst>
        </xdr:cNvPr>
        <xdr:cNvSpPr/>
      </xdr:nvSpPr>
      <xdr:spPr>
        <a:xfrm>
          <a:off x="8584267" y="34310731"/>
          <a:ext cx="365872" cy="244848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504826</xdr:colOff>
      <xdr:row>160</xdr:row>
      <xdr:rowOff>190500</xdr:rowOff>
    </xdr:from>
    <xdr:to>
      <xdr:col>19</xdr:col>
      <xdr:colOff>19051</xdr:colOff>
      <xdr:row>162</xdr:row>
      <xdr:rowOff>9525</xdr:rowOff>
    </xdr:to>
    <xdr:sp macro="" textlink="">
      <xdr:nvSpPr>
        <xdr:cNvPr id="15" name="사각형: 둥근 모서리 14">
          <a:extLst>
            <a:ext uri="{FF2B5EF4-FFF2-40B4-BE49-F238E27FC236}">
              <a16:creationId xmlns:a16="http://schemas.microsoft.com/office/drawing/2014/main" id="{DBAA3846-5312-4140-A520-8DCC484DCEBE}"/>
            </a:ext>
          </a:extLst>
        </xdr:cNvPr>
        <xdr:cNvSpPr/>
      </xdr:nvSpPr>
      <xdr:spPr>
        <a:xfrm>
          <a:off x="8584267" y="34939941"/>
          <a:ext cx="365872" cy="244849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504826</xdr:colOff>
      <xdr:row>164</xdr:row>
      <xdr:rowOff>38100</xdr:rowOff>
    </xdr:from>
    <xdr:to>
      <xdr:col>19</xdr:col>
      <xdr:colOff>19051</xdr:colOff>
      <xdr:row>165</xdr:row>
      <xdr:rowOff>66675</xdr:rowOff>
    </xdr:to>
    <xdr:sp macro="" textlink="">
      <xdr:nvSpPr>
        <xdr:cNvPr id="16" name="사각형: 둥근 모서리 15">
          <a:extLst>
            <a:ext uri="{FF2B5EF4-FFF2-40B4-BE49-F238E27FC236}">
              <a16:creationId xmlns:a16="http://schemas.microsoft.com/office/drawing/2014/main" id="{D86F4C58-8B4E-44FE-8E1D-859A9524D5A1}"/>
            </a:ext>
          </a:extLst>
        </xdr:cNvPr>
        <xdr:cNvSpPr/>
      </xdr:nvSpPr>
      <xdr:spPr>
        <a:xfrm>
          <a:off x="8584267" y="35639188"/>
          <a:ext cx="365872" cy="241487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504826</xdr:colOff>
      <xdr:row>170</xdr:row>
      <xdr:rowOff>76200</xdr:rowOff>
    </xdr:from>
    <xdr:to>
      <xdr:col>19</xdr:col>
      <xdr:colOff>19051</xdr:colOff>
      <xdr:row>171</xdr:row>
      <xdr:rowOff>104775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194BC4F4-223B-4A1A-B66C-92799C0F9C8B}"/>
            </a:ext>
          </a:extLst>
        </xdr:cNvPr>
        <xdr:cNvSpPr/>
      </xdr:nvSpPr>
      <xdr:spPr>
        <a:xfrm>
          <a:off x="8584267" y="36954759"/>
          <a:ext cx="365872" cy="241487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504825</xdr:colOff>
      <xdr:row>173</xdr:row>
      <xdr:rowOff>161925</xdr:rowOff>
    </xdr:from>
    <xdr:to>
      <xdr:col>19</xdr:col>
      <xdr:colOff>19050</xdr:colOff>
      <xdr:row>174</xdr:row>
      <xdr:rowOff>190500</xdr:rowOff>
    </xdr:to>
    <xdr:sp macro="" textlink="">
      <xdr:nvSpPr>
        <xdr:cNvPr id="18" name="사각형: 둥근 모서리 17">
          <a:extLst>
            <a:ext uri="{FF2B5EF4-FFF2-40B4-BE49-F238E27FC236}">
              <a16:creationId xmlns:a16="http://schemas.microsoft.com/office/drawing/2014/main" id="{9B4DDF06-B662-4477-A499-2122F58E9D1C}"/>
            </a:ext>
          </a:extLst>
        </xdr:cNvPr>
        <xdr:cNvSpPr/>
      </xdr:nvSpPr>
      <xdr:spPr>
        <a:xfrm>
          <a:off x="8584266" y="37679219"/>
          <a:ext cx="365872" cy="241487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DC6CF9-C09F-4FFB-89BF-59059DD677ED}">
  <we:reference id="wa200009404" version="1.0.0.8" store="ko-KR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182"/>
  <sheetViews>
    <sheetView tabSelected="1" view="pageBreakPreview" zoomScale="85" zoomScaleNormal="100" zoomScaleSheetLayoutView="85" workbookViewId="0">
      <selection activeCell="D5" sqref="D5"/>
    </sheetView>
  </sheetViews>
  <sheetFormatPr defaultRowHeight="16.5"/>
  <cols>
    <col min="2" max="2" width="18.875" customWidth="1"/>
    <col min="3" max="3" width="11.75" style="1" bestFit="1" customWidth="1"/>
    <col min="4" max="4" width="20.25" bestFit="1" customWidth="1"/>
    <col min="5" max="5" width="11.75" bestFit="1" customWidth="1"/>
    <col min="6" max="6" width="11.75" customWidth="1"/>
    <col min="7" max="7" width="7.75" bestFit="1" customWidth="1"/>
    <col min="8" max="8" width="14.875" customWidth="1"/>
    <col min="9" max="9" width="11.125" customWidth="1"/>
    <col min="10" max="10" width="10.875" customWidth="1"/>
    <col min="11" max="11" width="15.125" bestFit="1" customWidth="1"/>
    <col min="12" max="12" width="9" customWidth="1"/>
    <col min="19" max="19" width="11.125" customWidth="1"/>
  </cols>
  <sheetData>
    <row r="2" spans="1:19">
      <c r="B2" t="s">
        <v>33</v>
      </c>
      <c r="D2" s="61" t="s">
        <v>149</v>
      </c>
      <c r="E2" s="61"/>
      <c r="F2" s="61"/>
      <c r="G2" s="61"/>
      <c r="H2" s="61"/>
      <c r="I2" s="61"/>
      <c r="J2" s="61"/>
    </row>
    <row r="3" spans="1:19" ht="17.25" thickBot="1"/>
    <row r="4" spans="1:19" ht="21" thickBot="1">
      <c r="B4" s="58" t="s">
        <v>34</v>
      </c>
      <c r="C4" s="59"/>
      <c r="D4" s="59"/>
      <c r="E4" s="59"/>
      <c r="F4" s="59"/>
      <c r="G4" s="59"/>
      <c r="H4" s="59"/>
      <c r="I4" s="59"/>
      <c r="J4" s="60"/>
      <c r="L4" s="49" t="s">
        <v>50</v>
      </c>
      <c r="M4" s="50"/>
      <c r="N4" s="51"/>
    </row>
    <row r="5" spans="1:19" ht="17.25" thickBot="1"/>
    <row r="6" spans="1:19" ht="17.25" thickBot="1">
      <c r="B6" s="52" t="s">
        <v>26</v>
      </c>
      <c r="C6" s="53"/>
      <c r="D6" s="54"/>
      <c r="J6" s="94">
        <f>J7*0.7</f>
        <v>71378.558405251038</v>
      </c>
    </row>
    <row r="7" spans="1:19" ht="17.25" thickBot="1">
      <c r="B7" s="1"/>
      <c r="D7" s="1"/>
      <c r="H7" s="52" t="s">
        <v>83</v>
      </c>
      <c r="I7" s="54"/>
      <c r="J7" s="18">
        <f>J77*1000+J98</f>
        <v>101969.36915035863</v>
      </c>
      <c r="L7" t="s">
        <v>147</v>
      </c>
      <c r="M7" s="47"/>
    </row>
    <row r="8" spans="1:19">
      <c r="B8" s="1"/>
      <c r="D8" s="1"/>
      <c r="F8" s="87" t="e">
        <f>D8/E8</f>
        <v>#DIV/0!</v>
      </c>
      <c r="H8" s="1"/>
      <c r="I8" s="1"/>
      <c r="J8" s="10" t="s">
        <v>86</v>
      </c>
      <c r="L8" t="s">
        <v>148</v>
      </c>
      <c r="M8" s="47"/>
      <c r="S8" s="1"/>
    </row>
    <row r="9" spans="1:19" ht="16.5" customHeight="1" thickBot="1"/>
    <row r="10" spans="1:19" s="1" customFormat="1" ht="16.5" customHeight="1">
      <c r="A10"/>
      <c r="B10" s="62" t="s">
        <v>153</v>
      </c>
      <c r="C10" s="64" t="s">
        <v>150</v>
      </c>
      <c r="D10" s="64" t="s">
        <v>151</v>
      </c>
      <c r="E10" s="64" t="s">
        <v>152</v>
      </c>
      <c r="F10" s="88" t="s">
        <v>219</v>
      </c>
      <c r="G10" s="88" t="s">
        <v>10</v>
      </c>
      <c r="H10" s="88" t="s">
        <v>220</v>
      </c>
      <c r="I10" s="62" t="s">
        <v>221</v>
      </c>
      <c r="J10" s="92" t="s">
        <v>218</v>
      </c>
      <c r="L10" s="6" t="s">
        <v>73</v>
      </c>
      <c r="M10" s="6" t="s">
        <v>74</v>
      </c>
      <c r="N10" s="6" t="s">
        <v>75</v>
      </c>
      <c r="S10" s="62" t="s">
        <v>221</v>
      </c>
    </row>
    <row r="11" spans="1:19" s="1" customFormat="1" ht="17.25" thickBot="1">
      <c r="B11" s="63"/>
      <c r="C11" s="65"/>
      <c r="D11" s="65"/>
      <c r="E11" s="65"/>
      <c r="F11" s="89"/>
      <c r="G11" s="89"/>
      <c r="H11" s="89"/>
      <c r="I11" s="65"/>
      <c r="J11" s="65"/>
      <c r="L11" s="7">
        <v>1</v>
      </c>
      <c r="M11" s="7">
        <v>1</v>
      </c>
      <c r="N11" s="7">
        <v>1</v>
      </c>
      <c r="P11" s="66"/>
      <c r="S11" s="65"/>
    </row>
    <row r="12" spans="1:19" s="1" customFormat="1">
      <c r="B12" s="95" t="s">
        <v>117</v>
      </c>
      <c r="C12" s="96" t="str">
        <f>LEFT(P12,4)</f>
        <v>MDDL</v>
      </c>
      <c r="D12" s="97">
        <f>VLOOKUP(C12,$B$153:$E$223,2,)</f>
        <v>1500</v>
      </c>
      <c r="E12" s="98">
        <f>VLOOKUP(C12,$B$153:$E$223,3,)*1000</f>
        <v>2300</v>
      </c>
      <c r="F12" s="99">
        <v>0.95</v>
      </c>
      <c r="G12" s="98">
        <f>VLOOKUP(C12,$B$153:$G$223,6,)</f>
        <v>3</v>
      </c>
      <c r="H12" s="100">
        <f>IF(G12=3,E12/(220*1.732*F12),E12/220*F12)</f>
        <v>6.3538017834845357</v>
      </c>
      <c r="I12" s="96">
        <v>0.5</v>
      </c>
      <c r="J12" s="100">
        <f>H12*I12</f>
        <v>3.1769008917422679</v>
      </c>
      <c r="K12" s="43">
        <f>SUM(J12:J27)</f>
        <v>21.2714233621004</v>
      </c>
      <c r="L12" s="7">
        <v>1</v>
      </c>
      <c r="M12" s="7">
        <v>1</v>
      </c>
      <c r="N12" s="7">
        <v>1</v>
      </c>
      <c r="P12" s="66" t="s">
        <v>180</v>
      </c>
      <c r="S12" s="6">
        <v>0.7</v>
      </c>
    </row>
    <row r="13" spans="1:19" s="1" customFormat="1">
      <c r="B13" s="45" t="s">
        <v>154</v>
      </c>
      <c r="C13" s="6" t="str">
        <f t="shared" ref="C13:C75" si="0">LEFT(P13,4)</f>
        <v>MCDL</v>
      </c>
      <c r="D13" s="21">
        <f>VLOOKUP(C13,$B$153:$E$223,2,)</f>
        <v>750</v>
      </c>
      <c r="E13" s="21">
        <f>VLOOKUP(C13,$B$153:$E$223,3,)*1000</f>
        <v>1300</v>
      </c>
      <c r="F13" s="87">
        <v>0.95</v>
      </c>
      <c r="G13" s="21">
        <f>VLOOKUP(C13,$B$153:$G$223,6,)</f>
        <v>3</v>
      </c>
      <c r="H13" s="22">
        <f>IF(G13=3,E13/(220*1.732*F13),E13/220)</f>
        <v>3.5912792689260415</v>
      </c>
      <c r="I13" s="6">
        <v>0.5</v>
      </c>
      <c r="J13" s="22">
        <f t="shared" ref="J13" si="1">H13*I13</f>
        <v>1.7956396344630208</v>
      </c>
      <c r="L13" s="7">
        <v>1</v>
      </c>
      <c r="M13" s="7">
        <v>1</v>
      </c>
      <c r="N13" s="7">
        <v>1</v>
      </c>
      <c r="P13" s="66" t="s">
        <v>181</v>
      </c>
      <c r="S13" s="6">
        <v>0.7</v>
      </c>
    </row>
    <row r="14" spans="1:19" s="1" customFormat="1">
      <c r="B14" s="45" t="s">
        <v>118</v>
      </c>
      <c r="C14" s="6" t="str">
        <f t="shared" si="0"/>
        <v>MADL</v>
      </c>
      <c r="D14" s="21">
        <f>VLOOKUP(C14,$B$153:$E$223,2,)</f>
        <v>200</v>
      </c>
      <c r="E14" s="21">
        <f>VLOOKUP(C14,$B$153:$E$223,3,)*1000</f>
        <v>500</v>
      </c>
      <c r="F14" s="87">
        <v>0.95</v>
      </c>
      <c r="G14" s="21">
        <f>VLOOKUP(C14,$B$153:$G$223,6,)</f>
        <v>3</v>
      </c>
      <c r="H14" s="22">
        <f t="shared" ref="H14" si="2">IF(G14=3,E14/(220*1.732*F14),E14/220*F14)</f>
        <v>1.3812612572792469</v>
      </c>
      <c r="I14" s="6">
        <v>0.5</v>
      </c>
      <c r="J14" s="22">
        <f t="shared" ref="J14:J20" si="3">H14*I14</f>
        <v>0.69063062863962343</v>
      </c>
      <c r="L14" s="7">
        <v>1</v>
      </c>
      <c r="M14" s="7">
        <v>1</v>
      </c>
      <c r="N14" s="7">
        <v>1</v>
      </c>
      <c r="P14" s="68" t="s">
        <v>116</v>
      </c>
      <c r="S14" s="6">
        <v>0.5</v>
      </c>
    </row>
    <row r="15" spans="1:19" s="1" customFormat="1">
      <c r="B15" s="45" t="s">
        <v>155</v>
      </c>
      <c r="C15" s="6" t="str">
        <f t="shared" si="0"/>
        <v>MCDL</v>
      </c>
      <c r="D15" s="21">
        <f>VLOOKUP(C15,$B$153:$E$223,2,)</f>
        <v>750</v>
      </c>
      <c r="E15" s="21">
        <f>VLOOKUP(C15,$B$153:$E$223,3,)*1000</f>
        <v>1300</v>
      </c>
      <c r="F15" s="87">
        <v>0.95</v>
      </c>
      <c r="G15" s="21">
        <f>VLOOKUP(C15,$B$153:$G$223,6,)</f>
        <v>3</v>
      </c>
      <c r="H15" s="22">
        <f t="shared" ref="H15" si="4">IF(G15=3,E15/(220*1.732*F15),E15/220)</f>
        <v>3.5912792689260415</v>
      </c>
      <c r="I15" s="6">
        <v>0.5</v>
      </c>
      <c r="J15" s="22">
        <f t="shared" si="3"/>
        <v>1.7956396344630208</v>
      </c>
      <c r="L15" s="7">
        <v>1</v>
      </c>
      <c r="M15" s="7">
        <v>1</v>
      </c>
      <c r="N15" s="7">
        <v>1</v>
      </c>
      <c r="P15" s="66" t="s">
        <v>181</v>
      </c>
      <c r="S15" s="6">
        <v>0.7</v>
      </c>
    </row>
    <row r="16" spans="1:19" s="1" customFormat="1">
      <c r="B16" s="45" t="s">
        <v>156</v>
      </c>
      <c r="C16" s="6" t="str">
        <f t="shared" si="0"/>
        <v>MCDL</v>
      </c>
      <c r="D16" s="21">
        <f>VLOOKUP(C16,$B$153:$E$223,2,)</f>
        <v>750</v>
      </c>
      <c r="E16" s="21">
        <f>VLOOKUP(C16,$B$153:$E$223,3,)*1000</f>
        <v>1300</v>
      </c>
      <c r="F16" s="87">
        <v>0.95</v>
      </c>
      <c r="G16" s="21">
        <f>VLOOKUP(C16,$B$153:$G$223,6,)</f>
        <v>3</v>
      </c>
      <c r="H16" s="22">
        <f t="shared" ref="H16" si="5">IF(G16=3,E16/(220*1.732*F16),E16/220*F16)</f>
        <v>3.5912792689260415</v>
      </c>
      <c r="I16" s="6">
        <v>0.5</v>
      </c>
      <c r="J16" s="22">
        <f t="shared" si="3"/>
        <v>1.7956396344630208</v>
      </c>
      <c r="L16" s="7">
        <v>1</v>
      </c>
      <c r="M16" s="7">
        <v>1</v>
      </c>
      <c r="N16" s="7">
        <v>1</v>
      </c>
      <c r="P16" s="66" t="s">
        <v>181</v>
      </c>
      <c r="S16" s="6">
        <v>0.7</v>
      </c>
    </row>
    <row r="17" spans="2:19" s="1" customFormat="1">
      <c r="B17" s="45" t="s">
        <v>157</v>
      </c>
      <c r="C17" s="6" t="str">
        <f t="shared" si="0"/>
        <v>MADL</v>
      </c>
      <c r="D17" s="21">
        <f>VLOOKUP(C17,$B$153:$E$223,2,)</f>
        <v>200</v>
      </c>
      <c r="E17" s="21">
        <f>VLOOKUP(C17,$B$153:$E$223,3,)*1000</f>
        <v>500</v>
      </c>
      <c r="F17" s="87">
        <v>0.95</v>
      </c>
      <c r="G17" s="21">
        <f>VLOOKUP(C17,$B$153:$G$223,6,)</f>
        <v>3</v>
      </c>
      <c r="H17" s="22">
        <f t="shared" ref="H17" si="6">IF(G17=3,E17/(220*1.732*F17),E17/220)</f>
        <v>1.3812612572792469</v>
      </c>
      <c r="I17" s="6">
        <v>0.5</v>
      </c>
      <c r="J17" s="22">
        <f t="shared" si="3"/>
        <v>0.69063062863962343</v>
      </c>
      <c r="L17" s="7">
        <v>1</v>
      </c>
      <c r="M17" s="7">
        <v>1</v>
      </c>
      <c r="N17" s="7">
        <v>1</v>
      </c>
      <c r="P17" s="68" t="s">
        <v>116</v>
      </c>
      <c r="S17" s="6">
        <v>0.5</v>
      </c>
    </row>
    <row r="18" spans="2:19" s="1" customFormat="1">
      <c r="B18" s="45" t="s">
        <v>158</v>
      </c>
      <c r="C18" s="6" t="str">
        <f t="shared" si="0"/>
        <v>MCDL</v>
      </c>
      <c r="D18" s="21">
        <f>VLOOKUP(C18,$B$153:$E$223,2,)</f>
        <v>750</v>
      </c>
      <c r="E18" s="21">
        <f>VLOOKUP(C18,$B$153:$E$223,3,)*1000</f>
        <v>1300</v>
      </c>
      <c r="F18" s="87">
        <v>0.95</v>
      </c>
      <c r="G18" s="21">
        <f>VLOOKUP(C18,$B$153:$G$223,6,)</f>
        <v>3</v>
      </c>
      <c r="H18" s="22">
        <f t="shared" ref="H18" si="7">IF(G18=3,E18/(220*1.732*F18),E18/220*F18)</f>
        <v>3.5912792689260415</v>
      </c>
      <c r="I18" s="6">
        <v>0.5</v>
      </c>
      <c r="J18" s="22">
        <f t="shared" si="3"/>
        <v>1.7956396344630208</v>
      </c>
      <c r="L18" s="7">
        <v>1</v>
      </c>
      <c r="M18" s="7">
        <v>1</v>
      </c>
      <c r="N18" s="7">
        <v>1</v>
      </c>
      <c r="P18" s="69" t="s">
        <v>182</v>
      </c>
      <c r="S18" s="6">
        <v>0.2</v>
      </c>
    </row>
    <row r="19" spans="2:19" s="1" customFormat="1">
      <c r="B19" s="45" t="s">
        <v>159</v>
      </c>
      <c r="C19" s="6" t="str">
        <f t="shared" si="0"/>
        <v>MADL</v>
      </c>
      <c r="D19" s="21">
        <f>VLOOKUP(C19,$B$153:$E$223,2,)</f>
        <v>200</v>
      </c>
      <c r="E19" s="21">
        <f>VLOOKUP(C19,$B$153:$E$223,3,)*1000</f>
        <v>500</v>
      </c>
      <c r="F19" s="87">
        <v>0.95</v>
      </c>
      <c r="G19" s="21">
        <f>VLOOKUP(C19,$B$153:$G$223,6,)</f>
        <v>3</v>
      </c>
      <c r="H19" s="22">
        <f t="shared" ref="H19" si="8">IF(G19=3,E19/(220*1.732*F19),E19/220)</f>
        <v>1.3812612572792469</v>
      </c>
      <c r="I19" s="6">
        <v>0.5</v>
      </c>
      <c r="J19" s="22">
        <f t="shared" si="3"/>
        <v>0.69063062863962343</v>
      </c>
      <c r="L19" s="7">
        <v>1</v>
      </c>
      <c r="M19" s="7">
        <v>1</v>
      </c>
      <c r="N19" s="7">
        <v>1</v>
      </c>
      <c r="P19" s="70" t="s">
        <v>183</v>
      </c>
      <c r="S19" s="6">
        <v>0.2</v>
      </c>
    </row>
    <row r="20" spans="2:19" s="1" customFormat="1">
      <c r="B20" s="45" t="s">
        <v>160</v>
      </c>
      <c r="C20" s="6" t="str">
        <f t="shared" si="0"/>
        <v>MBDL</v>
      </c>
      <c r="D20" s="21">
        <f>VLOOKUP(C20,$B$153:$E$223,2,)</f>
        <v>400</v>
      </c>
      <c r="E20" s="21">
        <f>VLOOKUP(C20,$B$153:$E$223,3,)*1000</f>
        <v>900</v>
      </c>
      <c r="F20" s="87">
        <v>0.95</v>
      </c>
      <c r="G20" s="21">
        <f>VLOOKUP(C20,$B$153:$G$223,6,)</f>
        <v>3</v>
      </c>
      <c r="H20" s="22">
        <f t="shared" ref="H20" si="9">IF(G20=3,E20/(220*1.732*F20),E20/220*F20)</f>
        <v>2.4862702631026443</v>
      </c>
      <c r="I20" s="6">
        <v>0.5</v>
      </c>
      <c r="J20" s="22">
        <f t="shared" si="3"/>
        <v>1.2431351315513222</v>
      </c>
      <c r="L20" s="7">
        <v>1</v>
      </c>
      <c r="M20" s="7">
        <v>1</v>
      </c>
      <c r="N20" s="7">
        <v>1</v>
      </c>
      <c r="P20" s="70" t="s">
        <v>128</v>
      </c>
      <c r="S20" s="6">
        <v>0.2</v>
      </c>
    </row>
    <row r="21" spans="2:19" s="1" customFormat="1">
      <c r="B21" s="45" t="s">
        <v>161</v>
      </c>
      <c r="C21" s="6" t="str">
        <f t="shared" si="0"/>
        <v>MADL</v>
      </c>
      <c r="D21" s="21">
        <f>VLOOKUP(C21,$B$153:$E$223,2,)</f>
        <v>200</v>
      </c>
      <c r="E21" s="21">
        <f>VLOOKUP(C21,$B$153:$E$223,3,)*1000</f>
        <v>500</v>
      </c>
      <c r="F21" s="87">
        <v>0.95</v>
      </c>
      <c r="G21" s="21">
        <f>VLOOKUP(C21,$B$153:$G$223,6,)</f>
        <v>3</v>
      </c>
      <c r="H21" s="22">
        <f t="shared" ref="H21" si="10">IF(G21=3,E21/(220*1.732*F21),E21/220)</f>
        <v>1.3812612572792469</v>
      </c>
      <c r="I21" s="6">
        <v>0.5</v>
      </c>
      <c r="J21" s="22">
        <f t="shared" ref="J21:J39" si="11">H21*I21</f>
        <v>0.69063062863962343</v>
      </c>
      <c r="L21" s="7">
        <v>1</v>
      </c>
      <c r="M21" s="7">
        <v>1</v>
      </c>
      <c r="N21" s="7">
        <v>1</v>
      </c>
      <c r="P21" s="70" t="s">
        <v>183</v>
      </c>
      <c r="S21" s="6">
        <v>0.2</v>
      </c>
    </row>
    <row r="22" spans="2:19" s="1" customFormat="1">
      <c r="B22" s="45" t="s">
        <v>162</v>
      </c>
      <c r="C22" s="6" t="str">
        <f t="shared" si="0"/>
        <v>MBDL</v>
      </c>
      <c r="D22" s="21">
        <f>VLOOKUP(C22,$B$153:$E$223,2,)</f>
        <v>400</v>
      </c>
      <c r="E22" s="21">
        <f>VLOOKUP(C22,$B$153:$E$223,3,)*1000</f>
        <v>900</v>
      </c>
      <c r="F22" s="87">
        <v>0.95</v>
      </c>
      <c r="G22" s="21">
        <f>VLOOKUP(C22,$B$153:$G$223,6,)</f>
        <v>3</v>
      </c>
      <c r="H22" s="22">
        <f t="shared" ref="H22" si="12">IF(G22=3,E22/(220*1.732*F22),E22/220*F22)</f>
        <v>2.4862702631026443</v>
      </c>
      <c r="I22" s="6">
        <v>0.5</v>
      </c>
      <c r="J22" s="22">
        <f t="shared" si="11"/>
        <v>1.2431351315513222</v>
      </c>
      <c r="L22" s="7">
        <v>1</v>
      </c>
      <c r="M22" s="7">
        <v>1</v>
      </c>
      <c r="N22" s="7">
        <v>1</v>
      </c>
      <c r="P22" s="70" t="s">
        <v>128</v>
      </c>
      <c r="S22" s="6">
        <v>0.2</v>
      </c>
    </row>
    <row r="23" spans="2:19" s="1" customFormat="1">
      <c r="B23" s="45" t="s">
        <v>163</v>
      </c>
      <c r="C23" s="6" t="str">
        <f t="shared" si="0"/>
        <v>MCDL</v>
      </c>
      <c r="D23" s="21">
        <f>VLOOKUP(C23,$B$153:$E$223,2,)</f>
        <v>750</v>
      </c>
      <c r="E23" s="21">
        <f>VLOOKUP(C23,$B$153:$E$223,3,)*1000</f>
        <v>1300</v>
      </c>
      <c r="F23" s="87">
        <v>0.95</v>
      </c>
      <c r="G23" s="21">
        <f>VLOOKUP(C23,$B$153:$G$223,6,)</f>
        <v>3</v>
      </c>
      <c r="H23" s="22">
        <f t="shared" ref="H23" si="13">IF(G23=3,E23/(220*1.732*F23),E23/220)</f>
        <v>3.5912792689260415</v>
      </c>
      <c r="I23" s="6">
        <v>0.5</v>
      </c>
      <c r="J23" s="22">
        <f t="shared" si="11"/>
        <v>1.7956396344630208</v>
      </c>
      <c r="L23" s="7">
        <v>1</v>
      </c>
      <c r="M23" s="7">
        <v>1</v>
      </c>
      <c r="N23" s="7">
        <v>1</v>
      </c>
      <c r="P23" s="69" t="s">
        <v>182</v>
      </c>
      <c r="S23" s="6">
        <v>0.2</v>
      </c>
    </row>
    <row r="24" spans="2:19" s="1" customFormat="1">
      <c r="B24" s="45" t="s">
        <v>164</v>
      </c>
      <c r="C24" s="6" t="str">
        <f t="shared" si="0"/>
        <v>MADL</v>
      </c>
      <c r="D24" s="21">
        <f>VLOOKUP(C24,$B$153:$E$223,2,)</f>
        <v>200</v>
      </c>
      <c r="E24" s="21">
        <f>VLOOKUP(C24,$B$153:$E$223,3,)*1000</f>
        <v>500</v>
      </c>
      <c r="F24" s="87">
        <v>0.95</v>
      </c>
      <c r="G24" s="21">
        <f>VLOOKUP(C24,$B$153:$G$223,6,)</f>
        <v>3</v>
      </c>
      <c r="H24" s="22">
        <f t="shared" ref="H24" si="14">IF(G24=3,E24/(220*1.732*F24),E24/220*F24)</f>
        <v>1.3812612572792469</v>
      </c>
      <c r="I24" s="6">
        <v>0.5</v>
      </c>
      <c r="J24" s="22">
        <f t="shared" si="11"/>
        <v>0.69063062863962343</v>
      </c>
      <c r="L24" s="7">
        <v>1</v>
      </c>
      <c r="M24" s="7">
        <v>1</v>
      </c>
      <c r="N24" s="7">
        <v>1</v>
      </c>
      <c r="P24" s="70" t="s">
        <v>183</v>
      </c>
      <c r="S24" s="6">
        <v>0.2</v>
      </c>
    </row>
    <row r="25" spans="2:19" s="1" customFormat="1">
      <c r="B25" s="45" t="s">
        <v>165</v>
      </c>
      <c r="C25" s="6" t="str">
        <f t="shared" si="0"/>
        <v>MBDL</v>
      </c>
      <c r="D25" s="21">
        <f>VLOOKUP(C25,$B$153:$E$223,2,)</f>
        <v>400</v>
      </c>
      <c r="E25" s="21">
        <f>VLOOKUP(C25,$B$153:$E$223,3,)*1000</f>
        <v>900</v>
      </c>
      <c r="F25" s="87">
        <v>0.95</v>
      </c>
      <c r="G25" s="21">
        <f>VLOOKUP(C25,$B$153:$G$223,6,)</f>
        <v>3</v>
      </c>
      <c r="H25" s="22">
        <f t="shared" ref="H25" si="15">IF(G25=3,E25/(220*1.732*F25),E25/220)</f>
        <v>2.4862702631026443</v>
      </c>
      <c r="I25" s="6">
        <v>0.5</v>
      </c>
      <c r="J25" s="22">
        <f t="shared" si="11"/>
        <v>1.2431351315513222</v>
      </c>
      <c r="L25" s="7">
        <v>1</v>
      </c>
      <c r="M25" s="7">
        <v>1</v>
      </c>
      <c r="N25" s="7">
        <v>1</v>
      </c>
      <c r="P25" s="70" t="s">
        <v>128</v>
      </c>
      <c r="S25" s="6">
        <v>0.2</v>
      </c>
    </row>
    <row r="26" spans="2:19" s="1" customFormat="1">
      <c r="B26" s="45" t="s">
        <v>166</v>
      </c>
      <c r="C26" s="6" t="str">
        <f t="shared" si="0"/>
        <v>MADL</v>
      </c>
      <c r="D26" s="21">
        <f>VLOOKUP(C26,$B$153:$E$223,2,)</f>
        <v>200</v>
      </c>
      <c r="E26" s="21">
        <f>VLOOKUP(C26,$B$153:$E$223,3,)*1000</f>
        <v>500</v>
      </c>
      <c r="F26" s="87">
        <v>0.95</v>
      </c>
      <c r="G26" s="21">
        <f>VLOOKUP(C26,$B$153:$G$223,6,)</f>
        <v>3</v>
      </c>
      <c r="H26" s="22">
        <f t="shared" ref="H26" si="16">IF(G26=3,E26/(220*1.732*F26),E26/220*F26)</f>
        <v>1.3812612572792469</v>
      </c>
      <c r="I26" s="6">
        <v>0.5</v>
      </c>
      <c r="J26" s="22">
        <f t="shared" si="11"/>
        <v>0.69063062863962343</v>
      </c>
      <c r="K26" s="43">
        <f>SUM(J12:J42)</f>
        <v>32.183387294606462</v>
      </c>
      <c r="L26" s="7">
        <v>1</v>
      </c>
      <c r="M26" s="7">
        <v>1</v>
      </c>
      <c r="N26" s="7">
        <v>1</v>
      </c>
      <c r="P26" s="70" t="s">
        <v>183</v>
      </c>
      <c r="S26" s="6">
        <v>0.2</v>
      </c>
    </row>
    <row r="27" spans="2:19" s="1" customFormat="1">
      <c r="B27" s="45" t="s">
        <v>167</v>
      </c>
      <c r="C27" s="6" t="str">
        <f t="shared" si="0"/>
        <v>MBDL</v>
      </c>
      <c r="D27" s="21">
        <f>VLOOKUP(C27,$B$153:$E$223,2,)</f>
        <v>400</v>
      </c>
      <c r="E27" s="21">
        <f>VLOOKUP(C27,$B$153:$E$223,3,)*1000</f>
        <v>900</v>
      </c>
      <c r="F27" s="87">
        <v>0.95</v>
      </c>
      <c r="G27" s="21">
        <f>VLOOKUP(C27,$B$153:$G$223,6,)</f>
        <v>3</v>
      </c>
      <c r="H27" s="22">
        <f t="shared" ref="H27" si="17">IF(G27=3,E27/(220*1.732*F27),E27/220)</f>
        <v>2.4862702631026443</v>
      </c>
      <c r="I27" s="6">
        <v>0.5</v>
      </c>
      <c r="J27" s="22">
        <f t="shared" si="11"/>
        <v>1.2431351315513222</v>
      </c>
      <c r="L27" s="7">
        <v>1</v>
      </c>
      <c r="M27" s="7">
        <v>1</v>
      </c>
      <c r="N27" s="7">
        <v>1</v>
      </c>
      <c r="P27" s="70" t="s">
        <v>128</v>
      </c>
      <c r="S27" s="6">
        <v>0.2</v>
      </c>
    </row>
    <row r="28" spans="2:19" s="1" customFormat="1">
      <c r="B28" s="45" t="s">
        <v>168</v>
      </c>
      <c r="C28" s="6" t="str">
        <f t="shared" si="0"/>
        <v>MBDL</v>
      </c>
      <c r="D28" s="21">
        <f>VLOOKUP(C28,$B$153:$E$223,2,)</f>
        <v>400</v>
      </c>
      <c r="E28" s="21">
        <f>VLOOKUP(C28,$B$153:$E$223,3,)*1000</f>
        <v>900</v>
      </c>
      <c r="F28" s="87">
        <v>0.95</v>
      </c>
      <c r="G28" s="21">
        <f>VLOOKUP(C28,$B$153:$G$223,6,)</f>
        <v>3</v>
      </c>
      <c r="H28" s="22">
        <f t="shared" ref="H28" si="18">IF(G28=3,E28/(220*1.732*F28),E28/220*F28)</f>
        <v>2.4862702631026443</v>
      </c>
      <c r="I28" s="6">
        <v>0.5</v>
      </c>
      <c r="J28" s="22">
        <f t="shared" si="11"/>
        <v>1.2431351315513222</v>
      </c>
      <c r="K28" s="43">
        <f>SUM(J28:J42)</f>
        <v>10.911963932506048</v>
      </c>
      <c r="L28" s="7">
        <v>1</v>
      </c>
      <c r="M28" s="7">
        <v>1</v>
      </c>
      <c r="N28" s="7">
        <v>1</v>
      </c>
      <c r="P28" s="67" t="s">
        <v>128</v>
      </c>
      <c r="S28" s="6">
        <v>0.3</v>
      </c>
    </row>
    <row r="29" spans="2:19" s="1" customFormat="1">
      <c r="B29" s="45" t="s">
        <v>169</v>
      </c>
      <c r="C29" s="6" t="str">
        <f t="shared" si="0"/>
        <v>MADL</v>
      </c>
      <c r="D29" s="21">
        <f>VLOOKUP(C29,$B$153:$E$223,2,)</f>
        <v>200</v>
      </c>
      <c r="E29" s="21">
        <f>VLOOKUP(C29,$B$153:$E$223,3,)*1000</f>
        <v>500</v>
      </c>
      <c r="F29" s="87">
        <v>0.95</v>
      </c>
      <c r="G29" s="21">
        <f>VLOOKUP(C29,$B$153:$G$223,6,)</f>
        <v>3</v>
      </c>
      <c r="H29" s="22">
        <f t="shared" ref="H29" si="19">IF(G29=3,E29/(220*1.732*F29),E29/220)</f>
        <v>1.3812612572792469</v>
      </c>
      <c r="I29" s="6">
        <v>0.5</v>
      </c>
      <c r="J29" s="22">
        <f t="shared" si="11"/>
        <v>0.69063062863962343</v>
      </c>
      <c r="L29" s="7">
        <v>1</v>
      </c>
      <c r="M29" s="7">
        <v>1</v>
      </c>
      <c r="N29" s="7">
        <v>1</v>
      </c>
      <c r="P29" s="71" t="s">
        <v>184</v>
      </c>
      <c r="S29" s="6">
        <v>0.3</v>
      </c>
    </row>
    <row r="30" spans="2:19" s="1" customFormat="1">
      <c r="B30" s="45" t="s">
        <v>170</v>
      </c>
      <c r="C30" s="6" t="str">
        <f t="shared" si="0"/>
        <v>MADL</v>
      </c>
      <c r="D30" s="21">
        <f>VLOOKUP(C30,$B$153:$E$223,2,)</f>
        <v>200</v>
      </c>
      <c r="E30" s="21">
        <f>VLOOKUP(C30,$B$153:$E$223,3,)*1000</f>
        <v>500</v>
      </c>
      <c r="F30" s="87">
        <v>0.95</v>
      </c>
      <c r="G30" s="21">
        <f>VLOOKUP(C30,$B$153:$G$223,6,)</f>
        <v>3</v>
      </c>
      <c r="H30" s="22">
        <f t="shared" ref="H30" si="20">IF(G30=3,E30/(220*1.732*F30),E30/220*F30)</f>
        <v>1.3812612572792469</v>
      </c>
      <c r="I30" s="6">
        <v>0.5</v>
      </c>
      <c r="J30" s="22">
        <f t="shared" si="11"/>
        <v>0.69063062863962343</v>
      </c>
      <c r="L30" s="7">
        <v>1</v>
      </c>
      <c r="M30" s="7">
        <v>1</v>
      </c>
      <c r="N30" s="7">
        <v>1</v>
      </c>
      <c r="P30" s="72" t="s">
        <v>184</v>
      </c>
      <c r="S30" s="6">
        <v>0.3</v>
      </c>
    </row>
    <row r="31" spans="2:19" s="1" customFormat="1">
      <c r="B31" s="45" t="s">
        <v>171</v>
      </c>
      <c r="C31" s="6" t="str">
        <f t="shared" si="0"/>
        <v>MADL</v>
      </c>
      <c r="D31" s="21">
        <f>VLOOKUP(C31,$B$153:$E$223,2,)</f>
        <v>200</v>
      </c>
      <c r="E31" s="21">
        <f>VLOOKUP(C31,$B$153:$E$223,3,)*1000</f>
        <v>500</v>
      </c>
      <c r="F31" s="87">
        <v>0.95</v>
      </c>
      <c r="G31" s="21">
        <f>VLOOKUP(C31,$B$153:$G$223,6,)</f>
        <v>3</v>
      </c>
      <c r="H31" s="22">
        <f t="shared" ref="H31" si="21">IF(G31=3,E31/(220*1.732*F31),E31/220)</f>
        <v>1.3812612572792469</v>
      </c>
      <c r="I31" s="6">
        <v>0.5</v>
      </c>
      <c r="J31" s="22">
        <f t="shared" si="11"/>
        <v>0.69063062863962343</v>
      </c>
      <c r="L31" s="7">
        <v>1</v>
      </c>
      <c r="M31" s="7">
        <v>1</v>
      </c>
      <c r="N31" s="7">
        <v>1</v>
      </c>
      <c r="P31" s="71" t="s">
        <v>116</v>
      </c>
      <c r="S31" s="6">
        <v>0.3</v>
      </c>
    </row>
    <row r="32" spans="2:19" s="1" customFormat="1">
      <c r="B32" s="45" t="s">
        <v>172</v>
      </c>
      <c r="C32" s="6" t="str">
        <f t="shared" si="0"/>
        <v>MADL</v>
      </c>
      <c r="D32" s="21">
        <f>VLOOKUP(C32,$B$153:$E$223,2,)</f>
        <v>200</v>
      </c>
      <c r="E32" s="21">
        <f>VLOOKUP(C32,$B$153:$E$223,3,)*1000</f>
        <v>500</v>
      </c>
      <c r="F32" s="87">
        <v>0.95</v>
      </c>
      <c r="G32" s="21">
        <f>VLOOKUP(C32,$B$153:$G$223,6,)</f>
        <v>3</v>
      </c>
      <c r="H32" s="22">
        <f t="shared" ref="H32" si="22">IF(G32=3,E32/(220*1.732*F32),E32/220*F32)</f>
        <v>1.3812612572792469</v>
      </c>
      <c r="I32" s="6">
        <v>0.5</v>
      </c>
      <c r="J32" s="22">
        <f t="shared" si="11"/>
        <v>0.69063062863962343</v>
      </c>
      <c r="L32" s="7">
        <v>1</v>
      </c>
      <c r="M32" s="7">
        <v>1</v>
      </c>
      <c r="N32" s="7">
        <v>1</v>
      </c>
      <c r="P32" s="71" t="s">
        <v>184</v>
      </c>
      <c r="S32" s="6">
        <v>0.3</v>
      </c>
    </row>
    <row r="33" spans="1:19" s="1" customFormat="1">
      <c r="B33" s="45" t="s">
        <v>129</v>
      </c>
      <c r="C33" s="6" t="str">
        <f t="shared" si="0"/>
        <v>MADL</v>
      </c>
      <c r="D33" s="21">
        <f>VLOOKUP(C33,$B$153:$E$223,2,)</f>
        <v>200</v>
      </c>
      <c r="E33" s="21">
        <f>VLOOKUP(C33,$B$153:$E$223,3,)*1000</f>
        <v>500</v>
      </c>
      <c r="F33" s="87">
        <v>0.95</v>
      </c>
      <c r="G33" s="21">
        <f>VLOOKUP(C33,$B$153:$G$223,6,)</f>
        <v>3</v>
      </c>
      <c r="H33" s="22">
        <f t="shared" ref="H33" si="23">IF(G33=3,E33/(220*1.732*F33),E33/220)</f>
        <v>1.3812612572792469</v>
      </c>
      <c r="I33" s="6">
        <v>0.5</v>
      </c>
      <c r="J33" s="22">
        <f t="shared" si="11"/>
        <v>0.69063062863962343</v>
      </c>
      <c r="L33" s="7">
        <v>1</v>
      </c>
      <c r="M33" s="7">
        <v>1</v>
      </c>
      <c r="N33" s="7">
        <v>1</v>
      </c>
      <c r="P33" s="72" t="s">
        <v>127</v>
      </c>
      <c r="S33" s="6">
        <v>0.3</v>
      </c>
    </row>
    <row r="34" spans="1:19" s="1" customFormat="1">
      <c r="B34" s="45" t="s">
        <v>173</v>
      </c>
      <c r="C34" s="6" t="str">
        <f t="shared" si="0"/>
        <v>MADL</v>
      </c>
      <c r="D34" s="21">
        <f>VLOOKUP(C34,$B$153:$E$223,2,)</f>
        <v>200</v>
      </c>
      <c r="E34" s="21">
        <f>VLOOKUP(C34,$B$153:$E$223,3,)*1000</f>
        <v>500</v>
      </c>
      <c r="F34" s="87">
        <v>0.95</v>
      </c>
      <c r="G34" s="21">
        <f>VLOOKUP(C34,$B$153:$G$223,6,)</f>
        <v>3</v>
      </c>
      <c r="H34" s="22">
        <f t="shared" ref="H34" si="24">IF(G34=3,E34/(220*1.732*F34),E34/220*F34)</f>
        <v>1.3812612572792469</v>
      </c>
      <c r="I34" s="6">
        <v>0.5</v>
      </c>
      <c r="J34" s="22">
        <f t="shared" si="11"/>
        <v>0.69063062863962343</v>
      </c>
      <c r="L34" s="7">
        <v>1</v>
      </c>
      <c r="M34" s="7">
        <v>1</v>
      </c>
      <c r="N34" s="7">
        <v>1</v>
      </c>
      <c r="P34" s="71" t="s">
        <v>116</v>
      </c>
      <c r="S34" s="6">
        <v>0.3</v>
      </c>
    </row>
    <row r="35" spans="1:19" s="1" customFormat="1">
      <c r="B35" s="45" t="s">
        <v>174</v>
      </c>
      <c r="C35" s="6" t="str">
        <f t="shared" si="0"/>
        <v>MADL</v>
      </c>
      <c r="D35" s="21">
        <f>VLOOKUP(C35,$B$153:$E$223,2,)</f>
        <v>200</v>
      </c>
      <c r="E35" s="21">
        <f>VLOOKUP(C35,$B$153:$E$223,3,)*1000</f>
        <v>500</v>
      </c>
      <c r="F35" s="87">
        <v>0.95</v>
      </c>
      <c r="G35" s="21">
        <f>VLOOKUP(C35,$B$153:$G$223,6,)</f>
        <v>3</v>
      </c>
      <c r="H35" s="22">
        <f t="shared" ref="H35" si="25">IF(G35=3,E35/(220*1.732*F35),E35/220)</f>
        <v>1.3812612572792469</v>
      </c>
      <c r="I35" s="6">
        <v>0.5</v>
      </c>
      <c r="J35" s="22">
        <f t="shared" si="11"/>
        <v>0.69063062863962343</v>
      </c>
      <c r="L35" s="7">
        <v>1</v>
      </c>
      <c r="M35" s="7">
        <v>1</v>
      </c>
      <c r="N35" s="7">
        <v>1</v>
      </c>
      <c r="P35" s="72" t="s">
        <v>127</v>
      </c>
      <c r="S35" s="6">
        <v>0.3</v>
      </c>
    </row>
    <row r="36" spans="1:19" s="1" customFormat="1">
      <c r="B36" s="45" t="s">
        <v>175</v>
      </c>
      <c r="C36" s="6" t="str">
        <f t="shared" si="0"/>
        <v>MADL</v>
      </c>
      <c r="D36" s="21">
        <f>VLOOKUP(C36,$B$153:$E$223,2,)</f>
        <v>200</v>
      </c>
      <c r="E36" s="21">
        <f>VLOOKUP(C36,$B$153:$E$223,3,)*1000</f>
        <v>500</v>
      </c>
      <c r="F36" s="87">
        <v>0.95</v>
      </c>
      <c r="G36" s="21">
        <f>VLOOKUP(C36,$B$153:$G$223,6,)</f>
        <v>3</v>
      </c>
      <c r="H36" s="22">
        <f t="shared" ref="H36" si="26">IF(G36=3,E36/(220*1.732*F36),E36/220*F36)</f>
        <v>1.3812612572792469</v>
      </c>
      <c r="I36" s="6">
        <v>0.5</v>
      </c>
      <c r="J36" s="22">
        <f t="shared" si="11"/>
        <v>0.69063062863962343</v>
      </c>
      <c r="L36" s="7">
        <v>1</v>
      </c>
      <c r="M36" s="7">
        <v>1</v>
      </c>
      <c r="N36" s="7">
        <v>1</v>
      </c>
      <c r="P36" s="72" t="s">
        <v>127</v>
      </c>
      <c r="S36" s="6">
        <v>0.3</v>
      </c>
    </row>
    <row r="37" spans="1:19">
      <c r="A37" s="1"/>
      <c r="B37" s="45" t="s">
        <v>176</v>
      </c>
      <c r="C37" s="6" t="str">
        <f t="shared" si="0"/>
        <v>MADL</v>
      </c>
      <c r="D37" s="21">
        <f>VLOOKUP(C37,$B$153:$E$223,2,)</f>
        <v>200</v>
      </c>
      <c r="E37" s="21">
        <f>VLOOKUP(C37,$B$153:$E$223,3,)*1000</f>
        <v>500</v>
      </c>
      <c r="F37" s="87">
        <v>0.95</v>
      </c>
      <c r="G37" s="21">
        <f>VLOOKUP(C37,$B$153:$G$223,6,)</f>
        <v>3</v>
      </c>
      <c r="H37" s="22">
        <f t="shared" ref="H37" si="27">IF(G37=3,E37/(220*1.732*F37),E37/220)</f>
        <v>1.3812612572792469</v>
      </c>
      <c r="I37" s="6">
        <v>0.5</v>
      </c>
      <c r="J37" s="22">
        <f t="shared" si="11"/>
        <v>0.69063062863962343</v>
      </c>
      <c r="L37" s="7">
        <v>1</v>
      </c>
      <c r="M37" s="7">
        <v>1</v>
      </c>
      <c r="N37" s="7">
        <v>1</v>
      </c>
      <c r="P37" s="71" t="s">
        <v>116</v>
      </c>
      <c r="S37" s="6">
        <v>0.3</v>
      </c>
    </row>
    <row r="38" spans="1:19">
      <c r="B38" s="45" t="s">
        <v>177</v>
      </c>
      <c r="C38" s="6" t="str">
        <f t="shared" si="0"/>
        <v>MADL</v>
      </c>
      <c r="D38" s="21">
        <f>VLOOKUP(C38,$B$153:$E$223,2,)</f>
        <v>200</v>
      </c>
      <c r="E38" s="21">
        <f>VLOOKUP(C38,$B$153:$E$223,3,)*1000</f>
        <v>500</v>
      </c>
      <c r="F38" s="87">
        <v>0.95</v>
      </c>
      <c r="G38" s="21">
        <f>VLOOKUP(C38,$B$153:$G$223,6,)</f>
        <v>3</v>
      </c>
      <c r="H38" s="22">
        <f t="shared" ref="H38" si="28">IF(G38=3,E38/(220*1.732*F38),E38/220*F38)</f>
        <v>1.3812612572792469</v>
      </c>
      <c r="I38" s="6">
        <v>0.5</v>
      </c>
      <c r="J38" s="22">
        <f t="shared" si="11"/>
        <v>0.69063062863962343</v>
      </c>
      <c r="L38" s="7">
        <v>1</v>
      </c>
      <c r="M38" s="7">
        <v>1</v>
      </c>
      <c r="N38" s="7">
        <v>1</v>
      </c>
      <c r="P38" s="72" t="s">
        <v>127</v>
      </c>
      <c r="S38" s="6">
        <v>0.3</v>
      </c>
    </row>
    <row r="39" spans="1:19">
      <c r="B39" s="45" t="s">
        <v>178</v>
      </c>
      <c r="C39" s="6" t="str">
        <f t="shared" si="0"/>
        <v>MADL</v>
      </c>
      <c r="D39" s="21">
        <f>VLOOKUP(C39,$B$153:$E$223,2,)</f>
        <v>200</v>
      </c>
      <c r="E39" s="21">
        <f>VLOOKUP(C39,$B$153:$E$223,3,)*1000</f>
        <v>500</v>
      </c>
      <c r="F39" s="87">
        <v>0.95</v>
      </c>
      <c r="G39" s="21">
        <f>VLOOKUP(C39,$B$153:$G$223,6,)</f>
        <v>3</v>
      </c>
      <c r="H39" s="22">
        <f t="shared" ref="H39" si="29">IF(G39=3,E39/(220*1.732*F39),E39/220)</f>
        <v>1.3812612572792469</v>
      </c>
      <c r="I39" s="6">
        <v>0.5</v>
      </c>
      <c r="J39" s="22">
        <f t="shared" si="11"/>
        <v>0.69063062863962343</v>
      </c>
      <c r="L39" s="7">
        <v>1</v>
      </c>
      <c r="M39" s="7">
        <v>1</v>
      </c>
      <c r="N39" s="7">
        <v>1</v>
      </c>
      <c r="P39" s="72" t="s">
        <v>127</v>
      </c>
      <c r="S39" s="6">
        <v>0.3</v>
      </c>
    </row>
    <row r="40" spans="1:19">
      <c r="B40" s="45" t="s">
        <v>179</v>
      </c>
      <c r="C40" s="6" t="str">
        <f t="shared" si="0"/>
        <v>MADL</v>
      </c>
      <c r="D40" s="21">
        <f>VLOOKUP(C40,$B$153:$E$223,2,)</f>
        <v>200</v>
      </c>
      <c r="E40" s="21">
        <f>VLOOKUP(C40,$B$153:$E$223,3,)*1000</f>
        <v>500</v>
      </c>
      <c r="F40" s="87">
        <v>0.95</v>
      </c>
      <c r="G40" s="21">
        <f>VLOOKUP(C40,$B$153:$G$223,6,)</f>
        <v>3</v>
      </c>
      <c r="H40" s="22">
        <f t="shared" ref="H40" si="30">IF(G40=3,E40/(220*1.732*F40),E40/220*F40)</f>
        <v>1.3812612572792469</v>
      </c>
      <c r="I40" s="6">
        <v>0.5</v>
      </c>
      <c r="J40" s="22">
        <f t="shared" ref="J40:J58" si="31">H40*I40</f>
        <v>0.69063062863962343</v>
      </c>
      <c r="L40" s="7">
        <v>1</v>
      </c>
      <c r="M40" s="7">
        <v>1</v>
      </c>
      <c r="N40" s="7">
        <v>1</v>
      </c>
      <c r="P40" s="71" t="s">
        <v>116</v>
      </c>
      <c r="S40" s="6">
        <v>0.3</v>
      </c>
    </row>
    <row r="41" spans="1:19">
      <c r="B41" s="45" t="s">
        <v>119</v>
      </c>
      <c r="C41" s="6" t="str">
        <f t="shared" si="0"/>
        <v>MADL</v>
      </c>
      <c r="D41" s="21">
        <f>VLOOKUP(C41,$B$153:$E$223,2,)</f>
        <v>200</v>
      </c>
      <c r="E41" s="21">
        <f>VLOOKUP(C41,$B$153:$E$223,3,)*1000</f>
        <v>500</v>
      </c>
      <c r="F41" s="87">
        <v>0.95</v>
      </c>
      <c r="G41" s="21">
        <f>VLOOKUP(C41,$B$153:$G$223,6,)</f>
        <v>3</v>
      </c>
      <c r="H41" s="22">
        <f t="shared" ref="H41" si="32">IF(G41=3,E41/(220*1.732*F41),E41/220)</f>
        <v>1.3812612572792469</v>
      </c>
      <c r="I41" s="6">
        <v>0.5</v>
      </c>
      <c r="J41" s="22">
        <f t="shared" si="31"/>
        <v>0.69063062863962343</v>
      </c>
      <c r="L41" s="7">
        <v>1</v>
      </c>
      <c r="M41" s="7">
        <v>1</v>
      </c>
      <c r="N41" s="7">
        <v>1</v>
      </c>
      <c r="P41" s="71" t="s">
        <v>116</v>
      </c>
      <c r="S41" s="6">
        <v>0.3</v>
      </c>
    </row>
    <row r="42" spans="1:19" ht="17.25" thickBot="1">
      <c r="B42" s="78" t="s">
        <v>120</v>
      </c>
      <c r="C42" s="81" t="str">
        <f t="shared" si="0"/>
        <v>MADL</v>
      </c>
      <c r="D42" s="82">
        <f>VLOOKUP(C42,$B$153:$E$223,2,)</f>
        <v>200</v>
      </c>
      <c r="E42" s="82">
        <f>VLOOKUP(C42,$B$153:$E$223,3,)*1000</f>
        <v>500</v>
      </c>
      <c r="F42" s="91">
        <v>0.95</v>
      </c>
      <c r="G42" s="82">
        <f>VLOOKUP(C42,$B$153:$G$223,6,)</f>
        <v>3</v>
      </c>
      <c r="H42" s="83">
        <f t="shared" ref="H42" si="33">IF(G42=3,E42/(220*1.732*F42),E42/220*F42)</f>
        <v>1.3812612572792469</v>
      </c>
      <c r="I42" s="81">
        <v>0.5</v>
      </c>
      <c r="J42" s="83">
        <f t="shared" si="31"/>
        <v>0.69063062863962343</v>
      </c>
      <c r="L42" s="7">
        <v>1</v>
      </c>
      <c r="M42" s="7">
        <v>1</v>
      </c>
      <c r="N42" s="7">
        <v>1</v>
      </c>
      <c r="P42" s="71" t="s">
        <v>116</v>
      </c>
      <c r="S42" s="81">
        <v>0.3</v>
      </c>
    </row>
    <row r="43" spans="1:19">
      <c r="B43" s="46" t="s">
        <v>185</v>
      </c>
      <c r="C43" s="34" t="str">
        <f t="shared" si="0"/>
        <v>MADL</v>
      </c>
      <c r="D43" s="79">
        <f>VLOOKUP(C43,$B$153:$E$223,2,)</f>
        <v>200</v>
      </c>
      <c r="E43" s="79">
        <f>VLOOKUP(C43,$B$153:$E$223,3,)*1000</f>
        <v>500</v>
      </c>
      <c r="F43" s="90">
        <v>0.95</v>
      </c>
      <c r="G43" s="79">
        <f>VLOOKUP(C43,$B$153:$G$223,6,)</f>
        <v>3</v>
      </c>
      <c r="H43" s="80">
        <f t="shared" ref="H43" si="34">IF(G43=3,E43/(220*1.732*F43),E43/220)</f>
        <v>1.3812612572792469</v>
      </c>
      <c r="I43" s="34">
        <v>0.5</v>
      </c>
      <c r="J43" s="80">
        <f>H43*I43</f>
        <v>0.69063062863962343</v>
      </c>
      <c r="K43" s="43">
        <f>SUM(J43:J58)</f>
        <v>13.260108069880767</v>
      </c>
      <c r="L43" s="7">
        <v>1</v>
      </c>
      <c r="M43" s="7">
        <v>1</v>
      </c>
      <c r="N43" s="7">
        <v>1</v>
      </c>
      <c r="P43" s="75" t="s">
        <v>127</v>
      </c>
      <c r="S43" s="34">
        <v>0.2</v>
      </c>
    </row>
    <row r="44" spans="1:19">
      <c r="B44" s="45" t="s">
        <v>186</v>
      </c>
      <c r="C44" s="6" t="str">
        <f t="shared" si="0"/>
        <v>MADL</v>
      </c>
      <c r="D44" s="21">
        <f>VLOOKUP(C44,$B$153:$E$223,2,)</f>
        <v>200</v>
      </c>
      <c r="E44" s="21">
        <f>VLOOKUP(C44,$B$153:$E$223,3,)*1000</f>
        <v>500</v>
      </c>
      <c r="F44" s="87">
        <v>0.95</v>
      </c>
      <c r="G44" s="21">
        <f>VLOOKUP(C44,$B$153:$G$223,6,)</f>
        <v>3</v>
      </c>
      <c r="H44" s="22">
        <f t="shared" ref="H44" si="35">IF(G44=3,E44/(220*1.732*F44),E44/220*F44)</f>
        <v>1.3812612572792469</v>
      </c>
      <c r="I44" s="6">
        <v>0.5</v>
      </c>
      <c r="J44" s="22">
        <f t="shared" si="31"/>
        <v>0.69063062863962343</v>
      </c>
      <c r="L44" s="7">
        <v>1</v>
      </c>
      <c r="M44" s="7">
        <v>1</v>
      </c>
      <c r="N44" s="7">
        <v>1</v>
      </c>
      <c r="P44" s="75" t="s">
        <v>127</v>
      </c>
      <c r="S44" s="6">
        <v>0.2</v>
      </c>
    </row>
    <row r="45" spans="1:19">
      <c r="B45" s="45" t="s">
        <v>187</v>
      </c>
      <c r="C45" s="6" t="str">
        <f t="shared" si="0"/>
        <v>MADL</v>
      </c>
      <c r="D45" s="21">
        <f>VLOOKUP(C45,$B$153:$E$223,2,)</f>
        <v>200</v>
      </c>
      <c r="E45" s="21">
        <f>VLOOKUP(C45,$B$153:$E$223,3,)*1000</f>
        <v>500</v>
      </c>
      <c r="F45" s="87">
        <v>0.95</v>
      </c>
      <c r="G45" s="21">
        <f>VLOOKUP(C45,$B$153:$G$223,6,)</f>
        <v>3</v>
      </c>
      <c r="H45" s="22">
        <f t="shared" ref="H45" si="36">IF(G45=3,E45/(220*1.732*F45),E45/220)</f>
        <v>1.3812612572792469</v>
      </c>
      <c r="I45" s="6">
        <v>0.5</v>
      </c>
      <c r="J45" s="22">
        <f t="shared" si="31"/>
        <v>0.69063062863962343</v>
      </c>
      <c r="L45" s="7">
        <v>1</v>
      </c>
      <c r="M45" s="7">
        <v>1</v>
      </c>
      <c r="N45" s="7">
        <v>1</v>
      </c>
      <c r="P45" s="76" t="s">
        <v>116</v>
      </c>
      <c r="S45" s="6">
        <v>0.3</v>
      </c>
    </row>
    <row r="46" spans="1:19">
      <c r="B46" s="45" t="s">
        <v>188</v>
      </c>
      <c r="C46" s="6" t="str">
        <f t="shared" si="0"/>
        <v>MADL</v>
      </c>
      <c r="D46" s="21">
        <f>VLOOKUP(C46,$B$153:$E$223,2,)</f>
        <v>200</v>
      </c>
      <c r="E46" s="21">
        <f>VLOOKUP(C46,$B$153:$E$223,3,)*1000</f>
        <v>500</v>
      </c>
      <c r="F46" s="87">
        <v>0.95</v>
      </c>
      <c r="G46" s="21">
        <f>VLOOKUP(C46,$B$153:$G$223,6,)</f>
        <v>3</v>
      </c>
      <c r="H46" s="22">
        <f t="shared" ref="H46" si="37">IF(G46=3,E46/(220*1.732*F46),E46/220*F46)</f>
        <v>1.3812612572792469</v>
      </c>
      <c r="I46" s="6">
        <v>0.5</v>
      </c>
      <c r="J46" s="22">
        <f t="shared" si="31"/>
        <v>0.69063062863962343</v>
      </c>
      <c r="L46" s="7">
        <v>1</v>
      </c>
      <c r="M46" s="7">
        <v>1</v>
      </c>
      <c r="N46" s="7">
        <v>1</v>
      </c>
      <c r="P46" s="75" t="s">
        <v>127</v>
      </c>
      <c r="S46" s="6">
        <v>0.3</v>
      </c>
    </row>
    <row r="47" spans="1:19">
      <c r="B47" s="45" t="s">
        <v>189</v>
      </c>
      <c r="C47" s="6" t="str">
        <f t="shared" si="0"/>
        <v>MADL</v>
      </c>
      <c r="D47" s="21">
        <f>VLOOKUP(C47,$B$153:$E$223,2,)</f>
        <v>200</v>
      </c>
      <c r="E47" s="21">
        <f>VLOOKUP(C47,$B$153:$E$223,3,)*1000</f>
        <v>500</v>
      </c>
      <c r="F47" s="87">
        <v>0.95</v>
      </c>
      <c r="G47" s="21">
        <f>VLOOKUP(C47,$B$153:$G$223,6,)</f>
        <v>3</v>
      </c>
      <c r="H47" s="22">
        <f t="shared" ref="H47" si="38">IF(G47=3,E47/(220*1.732*F47),E47/220)</f>
        <v>1.3812612572792469</v>
      </c>
      <c r="I47" s="6">
        <v>0.5</v>
      </c>
      <c r="J47" s="22">
        <f t="shared" si="31"/>
        <v>0.69063062863962343</v>
      </c>
      <c r="L47" s="7">
        <v>1</v>
      </c>
      <c r="M47" s="7">
        <v>1</v>
      </c>
      <c r="N47" s="7">
        <v>1</v>
      </c>
      <c r="P47" s="76" t="s">
        <v>116</v>
      </c>
      <c r="S47" s="6">
        <v>0.3</v>
      </c>
    </row>
    <row r="48" spans="1:19">
      <c r="B48" s="45" t="s">
        <v>190</v>
      </c>
      <c r="C48" s="6" t="str">
        <f t="shared" si="0"/>
        <v>MADL</v>
      </c>
      <c r="D48" s="21">
        <f>VLOOKUP(C48,$B$153:$E$223,2,)</f>
        <v>200</v>
      </c>
      <c r="E48" s="21">
        <f>VLOOKUP(C48,$B$153:$E$223,3,)*1000</f>
        <v>500</v>
      </c>
      <c r="F48" s="87">
        <v>0.95</v>
      </c>
      <c r="G48" s="21">
        <f>VLOOKUP(C48,$B$153:$G$223,6,)</f>
        <v>3</v>
      </c>
      <c r="H48" s="22">
        <f t="shared" ref="H48" si="39">IF(G48=3,E48/(220*1.732*F48),E48/220*F48)</f>
        <v>1.3812612572792469</v>
      </c>
      <c r="I48" s="6">
        <v>0.5</v>
      </c>
      <c r="J48" s="22">
        <f t="shared" si="31"/>
        <v>0.69063062863962343</v>
      </c>
      <c r="L48" s="7">
        <v>1</v>
      </c>
      <c r="M48" s="7">
        <v>1</v>
      </c>
      <c r="N48" s="7">
        <v>1</v>
      </c>
      <c r="P48" s="76" t="s">
        <v>116</v>
      </c>
      <c r="S48" s="6">
        <v>0.3</v>
      </c>
    </row>
    <row r="49" spans="2:19">
      <c r="B49" s="45" t="s">
        <v>191</v>
      </c>
      <c r="C49" s="6" t="str">
        <f t="shared" si="0"/>
        <v>MADL</v>
      </c>
      <c r="D49" s="21">
        <f>VLOOKUP(C49,$B$153:$E$223,2,)</f>
        <v>200</v>
      </c>
      <c r="E49" s="21">
        <f>VLOOKUP(C49,$B$153:$E$223,3,)*1000</f>
        <v>500</v>
      </c>
      <c r="F49" s="87">
        <v>0.95</v>
      </c>
      <c r="G49" s="21">
        <f>VLOOKUP(C49,$B$153:$G$223,6,)</f>
        <v>3</v>
      </c>
      <c r="H49" s="22">
        <f t="shared" ref="H49" si="40">IF(G49=3,E49/(220*1.732*F49),E49/220)</f>
        <v>1.3812612572792469</v>
      </c>
      <c r="I49" s="6">
        <v>0.5</v>
      </c>
      <c r="J49" s="22">
        <f t="shared" si="31"/>
        <v>0.69063062863962343</v>
      </c>
      <c r="L49" s="7">
        <v>1</v>
      </c>
      <c r="M49" s="7">
        <v>1</v>
      </c>
      <c r="N49" s="7">
        <v>1</v>
      </c>
      <c r="P49" s="75" t="s">
        <v>127</v>
      </c>
      <c r="S49" s="6">
        <v>0.3</v>
      </c>
    </row>
    <row r="50" spans="2:19">
      <c r="B50" s="45" t="s">
        <v>192</v>
      </c>
      <c r="C50" s="6" t="str">
        <f t="shared" si="0"/>
        <v>MADL</v>
      </c>
      <c r="D50" s="21">
        <f>VLOOKUP(C50,$B$153:$E$223,2,)</f>
        <v>200</v>
      </c>
      <c r="E50" s="21">
        <f>VLOOKUP(C50,$B$153:$E$223,3,)*1000</f>
        <v>500</v>
      </c>
      <c r="F50" s="87">
        <v>0.95</v>
      </c>
      <c r="G50" s="21">
        <f>VLOOKUP(C50,$B$153:$G$223,6,)</f>
        <v>3</v>
      </c>
      <c r="H50" s="22">
        <f t="shared" ref="H50" si="41">IF(G50=3,E50/(220*1.732*F50),E50/220*F50)</f>
        <v>1.3812612572792469</v>
      </c>
      <c r="I50" s="6">
        <v>0.5</v>
      </c>
      <c r="J50" s="22">
        <f t="shared" si="31"/>
        <v>0.69063062863962343</v>
      </c>
      <c r="L50" s="7">
        <v>1</v>
      </c>
      <c r="M50" s="7">
        <v>1</v>
      </c>
      <c r="N50" s="7">
        <v>1</v>
      </c>
      <c r="P50" s="76" t="s">
        <v>116</v>
      </c>
      <c r="S50" s="6">
        <v>0.3</v>
      </c>
    </row>
    <row r="51" spans="2:19">
      <c r="B51" s="45" t="s">
        <v>193</v>
      </c>
      <c r="C51" s="6" t="str">
        <f t="shared" si="0"/>
        <v>MADL</v>
      </c>
      <c r="D51" s="21">
        <f>VLOOKUP(C51,$B$153:$E$223,2,)</f>
        <v>200</v>
      </c>
      <c r="E51" s="21">
        <f>VLOOKUP(C51,$B$153:$E$223,3,)*1000</f>
        <v>500</v>
      </c>
      <c r="F51" s="87">
        <v>0.95</v>
      </c>
      <c r="G51" s="21">
        <f>VLOOKUP(C51,$B$153:$G$223,6,)</f>
        <v>3</v>
      </c>
      <c r="H51" s="22">
        <f t="shared" ref="H51" si="42">IF(G51=3,E51/(220*1.732*F51),E51/220)</f>
        <v>1.3812612572792469</v>
      </c>
      <c r="I51" s="6">
        <v>0.5</v>
      </c>
      <c r="J51" s="22">
        <f t="shared" si="31"/>
        <v>0.69063062863962343</v>
      </c>
      <c r="L51" s="7">
        <v>1</v>
      </c>
      <c r="M51" s="7">
        <v>1</v>
      </c>
      <c r="N51" s="7">
        <v>1</v>
      </c>
      <c r="P51" s="76" t="s">
        <v>116</v>
      </c>
      <c r="S51" s="6">
        <v>0.3</v>
      </c>
    </row>
    <row r="52" spans="2:19">
      <c r="B52" s="45" t="s">
        <v>194</v>
      </c>
      <c r="C52" s="6" t="str">
        <f t="shared" si="0"/>
        <v>MADL</v>
      </c>
      <c r="D52" s="21">
        <f>VLOOKUP(C52,$B$153:$E$223,2,)</f>
        <v>200</v>
      </c>
      <c r="E52" s="21">
        <f>VLOOKUP(C52,$B$153:$E$223,3,)*1000</f>
        <v>500</v>
      </c>
      <c r="F52" s="87">
        <v>0.95</v>
      </c>
      <c r="G52" s="21">
        <f>VLOOKUP(C52,$B$153:$G$223,6,)</f>
        <v>3</v>
      </c>
      <c r="H52" s="22">
        <f t="shared" ref="H52" si="43">IF(G52=3,E52/(220*1.732*F52),E52/220*F52)</f>
        <v>1.3812612572792469</v>
      </c>
      <c r="I52" s="6">
        <v>0.5</v>
      </c>
      <c r="J52" s="22">
        <f t="shared" si="31"/>
        <v>0.69063062863962343</v>
      </c>
      <c r="L52" s="7">
        <v>1</v>
      </c>
      <c r="M52" s="7">
        <v>1</v>
      </c>
      <c r="N52" s="7">
        <v>1</v>
      </c>
      <c r="P52" s="75" t="s">
        <v>127</v>
      </c>
      <c r="S52" s="6">
        <v>0.3</v>
      </c>
    </row>
    <row r="53" spans="2:19">
      <c r="B53" s="45" t="s">
        <v>195</v>
      </c>
      <c r="C53" s="6" t="str">
        <f t="shared" si="0"/>
        <v>MADL</v>
      </c>
      <c r="D53" s="21">
        <f>VLOOKUP(C53,$B$153:$E$223,2,)</f>
        <v>200</v>
      </c>
      <c r="E53" s="21">
        <f>VLOOKUP(C53,$B$153:$E$223,3,)*1000</f>
        <v>500</v>
      </c>
      <c r="F53" s="87">
        <v>0.95</v>
      </c>
      <c r="G53" s="21">
        <f>VLOOKUP(C53,$B$153:$G$223,6,)</f>
        <v>3</v>
      </c>
      <c r="H53" s="22">
        <f t="shared" ref="H53" si="44">IF(G53=3,E53/(220*1.732*F53),E53/220)</f>
        <v>1.3812612572792469</v>
      </c>
      <c r="I53" s="6">
        <v>0.5</v>
      </c>
      <c r="J53" s="22">
        <f t="shared" si="31"/>
        <v>0.69063062863962343</v>
      </c>
      <c r="L53" s="7">
        <v>1</v>
      </c>
      <c r="M53" s="7">
        <v>1</v>
      </c>
      <c r="N53" s="7">
        <v>1</v>
      </c>
      <c r="P53" s="76" t="s">
        <v>116</v>
      </c>
      <c r="S53" s="6">
        <v>0.3</v>
      </c>
    </row>
    <row r="54" spans="2:19">
      <c r="B54" s="45" t="s">
        <v>196</v>
      </c>
      <c r="C54" s="6" t="str">
        <f t="shared" si="0"/>
        <v>MCDL</v>
      </c>
      <c r="D54" s="21">
        <f>VLOOKUP(C54,$B$153:$E$223,2,)</f>
        <v>750</v>
      </c>
      <c r="E54" s="21">
        <f>VLOOKUP(C54,$B$153:$E$223,3,)*1000</f>
        <v>1300</v>
      </c>
      <c r="F54" s="87">
        <v>0.95</v>
      </c>
      <c r="G54" s="21">
        <f>VLOOKUP(C54,$B$153:$G$223,6,)</f>
        <v>3</v>
      </c>
      <c r="H54" s="22">
        <f t="shared" ref="H54" si="45">IF(G54=3,E54/(220*1.732*F54),E54/220*F54)</f>
        <v>3.5912792689260415</v>
      </c>
      <c r="I54" s="6">
        <v>0.5</v>
      </c>
      <c r="J54" s="22">
        <f t="shared" si="31"/>
        <v>1.7956396344630208</v>
      </c>
      <c r="L54" s="7">
        <v>1</v>
      </c>
      <c r="M54" s="7">
        <v>1</v>
      </c>
      <c r="N54" s="7">
        <v>1</v>
      </c>
      <c r="P54" s="77" t="s">
        <v>182</v>
      </c>
      <c r="S54" s="6">
        <v>0.2</v>
      </c>
    </row>
    <row r="55" spans="2:19">
      <c r="B55" s="45" t="s">
        <v>197</v>
      </c>
      <c r="C55" s="6" t="str">
        <f t="shared" ref="C55:C56" si="46">LEFT(P55,4)</f>
        <v>MADL</v>
      </c>
      <c r="D55" s="21">
        <f>VLOOKUP(C55,$B$153:$E$223,2,)</f>
        <v>200</v>
      </c>
      <c r="E55" s="21">
        <f>VLOOKUP(C55,$B$153:$E$223,3,)*1000</f>
        <v>500</v>
      </c>
      <c r="F55" s="87">
        <v>0.95</v>
      </c>
      <c r="G55" s="21">
        <f>VLOOKUP(C55,$B$153:$G$223,6,)</f>
        <v>3</v>
      </c>
      <c r="H55" s="22">
        <f t="shared" ref="H55:H56" si="47">IF(G55=3,E55/(220*1.732*F55),E55/220*F55)</f>
        <v>1.3812612572792469</v>
      </c>
      <c r="I55" s="6">
        <v>0.5</v>
      </c>
      <c r="J55" s="22">
        <f t="shared" ref="J55:J56" si="48">H55*I55</f>
        <v>0.69063062863962343</v>
      </c>
      <c r="L55" s="7">
        <v>1</v>
      </c>
      <c r="M55" s="7">
        <v>1</v>
      </c>
      <c r="N55" s="7">
        <v>1</v>
      </c>
      <c r="P55" s="73" t="s">
        <v>183</v>
      </c>
      <c r="S55" s="6">
        <v>0.2</v>
      </c>
    </row>
    <row r="56" spans="2:19">
      <c r="B56" s="45" t="s">
        <v>198</v>
      </c>
      <c r="C56" s="6" t="str">
        <f t="shared" si="46"/>
        <v>MBDL</v>
      </c>
      <c r="D56" s="21">
        <f>VLOOKUP(C56,$B$153:$E$223,2,)</f>
        <v>400</v>
      </c>
      <c r="E56" s="21">
        <f>VLOOKUP(C56,$B$153:$E$223,3,)*1000</f>
        <v>900</v>
      </c>
      <c r="F56" s="87">
        <v>0.95</v>
      </c>
      <c r="G56" s="21">
        <f>VLOOKUP(C56,$B$153:$G$223,6,)</f>
        <v>3</v>
      </c>
      <c r="H56" s="22">
        <f t="shared" si="47"/>
        <v>2.4862702631026443</v>
      </c>
      <c r="I56" s="6">
        <v>0.5</v>
      </c>
      <c r="J56" s="22">
        <f t="shared" si="48"/>
        <v>1.2431351315513222</v>
      </c>
      <c r="L56" s="7">
        <v>1</v>
      </c>
      <c r="M56" s="7">
        <v>1</v>
      </c>
      <c r="N56" s="7">
        <v>1</v>
      </c>
      <c r="P56" s="73" t="s">
        <v>128</v>
      </c>
      <c r="S56" s="6">
        <v>0.2</v>
      </c>
    </row>
    <row r="57" spans="2:19">
      <c r="B57" s="45" t="s">
        <v>199</v>
      </c>
      <c r="C57" s="6" t="str">
        <f t="shared" si="0"/>
        <v>MADL</v>
      </c>
      <c r="D57" s="21">
        <f>VLOOKUP(C57,$B$153:$E$223,2,)</f>
        <v>200</v>
      </c>
      <c r="E57" s="21">
        <f>VLOOKUP(C57,$B$153:$E$223,3,)*1000</f>
        <v>500</v>
      </c>
      <c r="F57" s="87">
        <v>0.95</v>
      </c>
      <c r="G57" s="21">
        <f>VLOOKUP(C57,$B$153:$G$223,6,)</f>
        <v>3</v>
      </c>
      <c r="H57" s="22">
        <f t="shared" ref="H57" si="49">IF(G57=3,E57/(220*1.732*F57),E57/220)</f>
        <v>1.3812612572792469</v>
      </c>
      <c r="I57" s="6">
        <v>0.5</v>
      </c>
      <c r="J57" s="22">
        <f t="shared" si="31"/>
        <v>0.69063062863962343</v>
      </c>
      <c r="L57" s="7">
        <v>1</v>
      </c>
      <c r="M57" s="7">
        <v>1</v>
      </c>
      <c r="N57" s="7">
        <v>1</v>
      </c>
      <c r="P57" s="73" t="s">
        <v>183</v>
      </c>
      <c r="S57" s="6">
        <v>0.2</v>
      </c>
    </row>
    <row r="58" spans="2:19" ht="17.25" thickBot="1">
      <c r="B58" s="78" t="s">
        <v>200</v>
      </c>
      <c r="C58" s="81" t="str">
        <f t="shared" si="0"/>
        <v>MBDL</v>
      </c>
      <c r="D58" s="82">
        <f>VLOOKUP(C58,$B$153:$E$223,2,)</f>
        <v>400</v>
      </c>
      <c r="E58" s="82">
        <f>VLOOKUP(C58,$B$153:$E$223,3,)*1000</f>
        <v>900</v>
      </c>
      <c r="F58" s="87">
        <v>0.95</v>
      </c>
      <c r="G58" s="82">
        <f>VLOOKUP(C58,$B$153:$G$223,6,)</f>
        <v>3</v>
      </c>
      <c r="H58" s="83">
        <f t="shared" ref="H58" si="50">IF(G58=3,E58/(220*1.732*F58),E58/220*F58)</f>
        <v>2.4862702631026443</v>
      </c>
      <c r="I58" s="6">
        <v>0.5</v>
      </c>
      <c r="J58" s="83">
        <f t="shared" si="31"/>
        <v>1.2431351315513222</v>
      </c>
      <c r="L58" s="7">
        <v>1</v>
      </c>
      <c r="M58" s="7">
        <v>1</v>
      </c>
      <c r="N58" s="7">
        <v>1</v>
      </c>
      <c r="P58" s="74" t="s">
        <v>128</v>
      </c>
      <c r="S58" s="81">
        <v>0.2</v>
      </c>
    </row>
    <row r="59" spans="2:19">
      <c r="B59" s="46" t="s">
        <v>201</v>
      </c>
      <c r="C59" s="34" t="str">
        <f t="shared" si="0"/>
        <v>MADL</v>
      </c>
      <c r="D59" s="79">
        <f>VLOOKUP(C59,$B$153:$E$223,2,)</f>
        <v>200</v>
      </c>
      <c r="E59" s="79">
        <f>VLOOKUP(C59,$B$153:$E$223,3,)*1000</f>
        <v>500</v>
      </c>
      <c r="F59" s="87">
        <v>0.95</v>
      </c>
      <c r="G59" s="79">
        <f>VLOOKUP(C59,$B$153:$G$223,6,)</f>
        <v>3</v>
      </c>
      <c r="H59" s="80">
        <f t="shared" ref="H59" si="51">IF(G59=3,E59/(220*1.732*F59),E59/220)</f>
        <v>1.3812612572792469</v>
      </c>
      <c r="I59" s="6">
        <v>0.5</v>
      </c>
      <c r="J59" s="80">
        <f t="shared" ref="J59" si="52">H59*I59</f>
        <v>0.69063062863962343</v>
      </c>
      <c r="L59" s="7">
        <v>1</v>
      </c>
      <c r="M59" s="7">
        <v>1</v>
      </c>
      <c r="N59" s="7">
        <v>1</v>
      </c>
      <c r="P59" s="84" t="s">
        <v>127</v>
      </c>
      <c r="S59" s="34">
        <v>0.3</v>
      </c>
    </row>
    <row r="60" spans="2:19">
      <c r="B60" s="45" t="s">
        <v>202</v>
      </c>
      <c r="C60" s="6" t="str">
        <f t="shared" si="0"/>
        <v>MADL</v>
      </c>
      <c r="D60" s="21">
        <f>VLOOKUP(C60,$B$153:$E$223,2,)</f>
        <v>200</v>
      </c>
      <c r="E60" s="21">
        <f>VLOOKUP(C60,$B$153:$E$223,3,)*1000</f>
        <v>500</v>
      </c>
      <c r="F60" s="87">
        <v>0.95</v>
      </c>
      <c r="G60" s="21">
        <f>VLOOKUP(C60,$B$153:$G$223,6,)</f>
        <v>3</v>
      </c>
      <c r="H60" s="22">
        <f t="shared" ref="H60" si="53">IF(G60=3,E60/(220*1.732*F60),E60/220*F60)</f>
        <v>1.3812612572792469</v>
      </c>
      <c r="I60" s="6">
        <v>0.5</v>
      </c>
      <c r="J60" s="22">
        <f t="shared" ref="J60:J75" si="54">H60*I60</f>
        <v>0.69063062863962343</v>
      </c>
      <c r="L60" s="7">
        <v>1</v>
      </c>
      <c r="M60" s="7">
        <v>1</v>
      </c>
      <c r="N60" s="7">
        <v>1</v>
      </c>
      <c r="P60" s="84" t="s">
        <v>127</v>
      </c>
      <c r="S60" s="6">
        <v>0.3</v>
      </c>
    </row>
    <row r="61" spans="2:19">
      <c r="B61" s="45" t="s">
        <v>203</v>
      </c>
      <c r="C61" s="6" t="str">
        <f t="shared" si="0"/>
        <v>MADL</v>
      </c>
      <c r="D61" s="21">
        <f>VLOOKUP(C61,$B$153:$E$223,2,)</f>
        <v>200</v>
      </c>
      <c r="E61" s="21">
        <f>VLOOKUP(C61,$B$153:$E$223,3,)*1000</f>
        <v>500</v>
      </c>
      <c r="F61" s="87">
        <v>0.95</v>
      </c>
      <c r="G61" s="21">
        <f>VLOOKUP(C61,$B$153:$G$223,6,)</f>
        <v>3</v>
      </c>
      <c r="H61" s="22">
        <f t="shared" ref="H61" si="55">IF(G61=3,E61/(220*1.732*F61),E61/220)</f>
        <v>1.3812612572792469</v>
      </c>
      <c r="I61" s="6">
        <v>0.5</v>
      </c>
      <c r="J61" s="22">
        <f t="shared" si="54"/>
        <v>0.69063062863962343</v>
      </c>
      <c r="L61" s="7">
        <v>1</v>
      </c>
      <c r="M61" s="7">
        <v>1</v>
      </c>
      <c r="N61" s="7">
        <v>1</v>
      </c>
      <c r="P61" s="85" t="s">
        <v>116</v>
      </c>
      <c r="S61" s="6">
        <v>0.3</v>
      </c>
    </row>
    <row r="62" spans="2:19">
      <c r="B62" s="45" t="s">
        <v>204</v>
      </c>
      <c r="C62" s="6" t="str">
        <f t="shared" si="0"/>
        <v>MADL</v>
      </c>
      <c r="D62" s="21">
        <f>VLOOKUP(C62,$B$153:$E$223,2,)</f>
        <v>200</v>
      </c>
      <c r="E62" s="21">
        <f>VLOOKUP(C62,$B$153:$E$223,3,)*1000</f>
        <v>500</v>
      </c>
      <c r="F62" s="87">
        <v>0.95</v>
      </c>
      <c r="G62" s="21">
        <f>VLOOKUP(C62,$B$153:$G$223,6,)</f>
        <v>3</v>
      </c>
      <c r="H62" s="22">
        <f t="shared" ref="H62" si="56">IF(G62=3,E62/(220*1.732*F62),E62/220*F62)</f>
        <v>1.3812612572792469</v>
      </c>
      <c r="I62" s="6">
        <v>0.5</v>
      </c>
      <c r="J62" s="22">
        <f t="shared" si="54"/>
        <v>0.69063062863962343</v>
      </c>
      <c r="L62" s="7">
        <v>1</v>
      </c>
      <c r="M62" s="7">
        <v>1</v>
      </c>
      <c r="N62" s="7">
        <v>1</v>
      </c>
      <c r="P62" s="84" t="s">
        <v>127</v>
      </c>
      <c r="S62" s="6">
        <v>0.3</v>
      </c>
    </row>
    <row r="63" spans="2:19">
      <c r="B63" s="45" t="s">
        <v>205</v>
      </c>
      <c r="C63" s="6" t="str">
        <f t="shared" si="0"/>
        <v>MADL</v>
      </c>
      <c r="D63" s="21">
        <f>VLOOKUP(C63,$B$153:$E$223,2,)</f>
        <v>200</v>
      </c>
      <c r="E63" s="21">
        <f>VLOOKUP(C63,$B$153:$E$223,3,)*1000</f>
        <v>500</v>
      </c>
      <c r="F63" s="87">
        <v>0.95</v>
      </c>
      <c r="G63" s="21">
        <f>VLOOKUP(C63,$B$153:$G$223,6,)</f>
        <v>3</v>
      </c>
      <c r="H63" s="22">
        <f t="shared" ref="H63" si="57">IF(G63=3,E63/(220*1.732*F63),E63/220)</f>
        <v>1.3812612572792469</v>
      </c>
      <c r="I63" s="6">
        <v>0.5</v>
      </c>
      <c r="J63" s="22">
        <f t="shared" si="54"/>
        <v>0.69063062863962343</v>
      </c>
      <c r="L63" s="7">
        <v>1</v>
      </c>
      <c r="M63" s="7">
        <v>1</v>
      </c>
      <c r="N63" s="7">
        <v>1</v>
      </c>
      <c r="P63" s="84" t="s">
        <v>127</v>
      </c>
      <c r="S63" s="6">
        <v>0.3</v>
      </c>
    </row>
    <row r="64" spans="2:19">
      <c r="B64" s="45" t="s">
        <v>206</v>
      </c>
      <c r="C64" s="6" t="str">
        <f t="shared" si="0"/>
        <v>MADL</v>
      </c>
      <c r="D64" s="21">
        <f>VLOOKUP(C64,$B$153:$E$223,2,)</f>
        <v>200</v>
      </c>
      <c r="E64" s="21">
        <f>VLOOKUP(C64,$B$153:$E$223,3,)*1000</f>
        <v>500</v>
      </c>
      <c r="F64" s="87">
        <v>0.95</v>
      </c>
      <c r="G64" s="21">
        <f>VLOOKUP(C64,$B$153:$G$223,6,)</f>
        <v>3</v>
      </c>
      <c r="H64" s="22">
        <f t="shared" ref="H64" si="58">IF(G64=3,E64/(220*1.732*F64),E64/220*F64)</f>
        <v>1.3812612572792469</v>
      </c>
      <c r="I64" s="6">
        <v>0.5</v>
      </c>
      <c r="J64" s="22">
        <f t="shared" si="54"/>
        <v>0.69063062863962343</v>
      </c>
      <c r="K64" s="43">
        <f>SUM(J59:J75)</f>
        <v>15.331999955799636</v>
      </c>
      <c r="L64" s="7">
        <v>1</v>
      </c>
      <c r="M64" s="7">
        <v>1</v>
      </c>
      <c r="N64" s="7">
        <v>1</v>
      </c>
      <c r="P64" s="85" t="s">
        <v>116</v>
      </c>
      <c r="S64" s="6">
        <v>0.3</v>
      </c>
    </row>
    <row r="65" spans="2:19">
      <c r="B65" s="45" t="s">
        <v>207</v>
      </c>
      <c r="C65" s="6" t="str">
        <f t="shared" si="0"/>
        <v>MADL</v>
      </c>
      <c r="D65" s="21">
        <f>VLOOKUP(C65,$B$153:$E$223,2,)</f>
        <v>200</v>
      </c>
      <c r="E65" s="21">
        <f>VLOOKUP(C65,$B$153:$E$223,3,)*1000</f>
        <v>500</v>
      </c>
      <c r="F65" s="87">
        <v>0.95</v>
      </c>
      <c r="G65" s="21">
        <f>VLOOKUP(C65,$B$153:$G$223,6,)</f>
        <v>3</v>
      </c>
      <c r="H65" s="22">
        <f t="shared" ref="H65" si="59">IF(G65=3,E65/(220*1.732*F65),E65/220)</f>
        <v>1.3812612572792469</v>
      </c>
      <c r="I65" s="6">
        <v>0.5</v>
      </c>
      <c r="J65" s="22">
        <f t="shared" si="54"/>
        <v>0.69063062863962343</v>
      </c>
      <c r="L65" s="7">
        <v>1</v>
      </c>
      <c r="M65" s="7">
        <v>1</v>
      </c>
      <c r="N65" s="7">
        <v>1</v>
      </c>
      <c r="P65" s="71" t="s">
        <v>127</v>
      </c>
      <c r="S65" s="6">
        <v>0.3</v>
      </c>
    </row>
    <row r="66" spans="2:19">
      <c r="B66" s="45" t="s">
        <v>208</v>
      </c>
      <c r="C66" s="6" t="str">
        <f t="shared" si="0"/>
        <v>MADL</v>
      </c>
      <c r="D66" s="21">
        <f>VLOOKUP(C66,$B$153:$E$223,2,)</f>
        <v>200</v>
      </c>
      <c r="E66" s="21">
        <f>VLOOKUP(C66,$B$153:$E$223,3,)*1000</f>
        <v>500</v>
      </c>
      <c r="F66" s="87">
        <v>0.95</v>
      </c>
      <c r="G66" s="21">
        <f>VLOOKUP(C66,$B$153:$G$223,6,)</f>
        <v>3</v>
      </c>
      <c r="H66" s="22">
        <f t="shared" ref="H66" si="60">IF(G66=3,E66/(220*1.732*F66),E66/220*F66)</f>
        <v>1.3812612572792469</v>
      </c>
      <c r="I66" s="6">
        <v>0.5</v>
      </c>
      <c r="J66" s="22">
        <f t="shared" si="54"/>
        <v>0.69063062863962343</v>
      </c>
      <c r="L66" s="7">
        <v>1</v>
      </c>
      <c r="M66" s="7">
        <v>1</v>
      </c>
      <c r="N66" s="7">
        <v>1</v>
      </c>
      <c r="P66" s="71" t="s">
        <v>127</v>
      </c>
      <c r="S66" s="6">
        <v>0.3</v>
      </c>
    </row>
    <row r="67" spans="2:19">
      <c r="B67" s="45" t="s">
        <v>209</v>
      </c>
      <c r="C67" s="6" t="str">
        <f t="shared" si="0"/>
        <v>MADL</v>
      </c>
      <c r="D67" s="21">
        <f>VLOOKUP(C67,$B$153:$E$223,2,)</f>
        <v>200</v>
      </c>
      <c r="E67" s="21">
        <f>VLOOKUP(C67,$B$153:$E$223,3,)*1000</f>
        <v>500</v>
      </c>
      <c r="F67" s="87">
        <v>0.95</v>
      </c>
      <c r="G67" s="21">
        <f>VLOOKUP(C67,$B$153:$G$223,6,)</f>
        <v>3</v>
      </c>
      <c r="H67" s="22">
        <f t="shared" ref="H67" si="61">IF(G67=3,E67/(220*1.732*F67),E67/220)</f>
        <v>1.3812612572792469</v>
      </c>
      <c r="I67" s="6">
        <v>0.5</v>
      </c>
      <c r="J67" s="22">
        <f t="shared" si="54"/>
        <v>0.69063062863962343</v>
      </c>
      <c r="L67" s="7">
        <v>1</v>
      </c>
      <c r="M67" s="7">
        <v>1</v>
      </c>
      <c r="N67" s="7">
        <v>1</v>
      </c>
      <c r="P67" s="85" t="s">
        <v>127</v>
      </c>
      <c r="S67" s="6">
        <v>0.3</v>
      </c>
    </row>
    <row r="68" spans="2:19">
      <c r="B68" s="45" t="s">
        <v>210</v>
      </c>
      <c r="C68" s="6" t="str">
        <f t="shared" si="0"/>
        <v>MADL</v>
      </c>
      <c r="D68" s="21">
        <f>VLOOKUP(C68,$B$153:$E$223,2,)</f>
        <v>200</v>
      </c>
      <c r="E68" s="21">
        <f>VLOOKUP(C68,$B$153:$E$223,3,)*1000</f>
        <v>500</v>
      </c>
      <c r="F68" s="87">
        <v>0.95</v>
      </c>
      <c r="G68" s="21">
        <f>VLOOKUP(C68,$B$153:$G$223,6,)</f>
        <v>3</v>
      </c>
      <c r="H68" s="22">
        <f t="shared" ref="H68" si="62">IF(G68=3,E68/(220*1.732*F68),E68/220*F68)</f>
        <v>1.3812612572792469</v>
      </c>
      <c r="I68" s="6">
        <v>0.5</v>
      </c>
      <c r="J68" s="22">
        <f t="shared" si="54"/>
        <v>0.69063062863962343</v>
      </c>
      <c r="L68" s="7">
        <v>1</v>
      </c>
      <c r="M68" s="7">
        <v>1</v>
      </c>
      <c r="N68" s="7">
        <v>1</v>
      </c>
      <c r="P68" s="85" t="s">
        <v>127</v>
      </c>
      <c r="S68" s="6">
        <v>0.3</v>
      </c>
    </row>
    <row r="69" spans="2:19">
      <c r="B69" s="45" t="s">
        <v>211</v>
      </c>
      <c r="C69" s="6" t="str">
        <f t="shared" si="0"/>
        <v>MADL</v>
      </c>
      <c r="D69" s="21">
        <f>VLOOKUP(C69,$B$153:$E$223,2,)</f>
        <v>200</v>
      </c>
      <c r="E69" s="21">
        <f>VLOOKUP(C69,$B$153:$E$223,3,)*1000</f>
        <v>500</v>
      </c>
      <c r="F69" s="87">
        <v>0.95</v>
      </c>
      <c r="G69" s="21">
        <f>VLOOKUP(C69,$B$153:$G$223,6,)</f>
        <v>3</v>
      </c>
      <c r="H69" s="22">
        <f t="shared" ref="H69" si="63">IF(G69=3,E69/(220*1.732*F69),E69/220)</f>
        <v>1.3812612572792469</v>
      </c>
      <c r="I69" s="6">
        <v>0.5</v>
      </c>
      <c r="J69" s="22">
        <f t="shared" si="54"/>
        <v>0.69063062863962343</v>
      </c>
      <c r="L69" s="7">
        <v>1</v>
      </c>
      <c r="M69" s="7">
        <v>1</v>
      </c>
      <c r="N69" s="7">
        <v>1</v>
      </c>
      <c r="P69" s="85" t="s">
        <v>116</v>
      </c>
      <c r="S69" s="6">
        <v>0.3</v>
      </c>
    </row>
    <row r="70" spans="2:19">
      <c r="B70" s="45" t="s">
        <v>212</v>
      </c>
      <c r="C70" s="6" t="str">
        <f t="shared" si="0"/>
        <v>MADL</v>
      </c>
      <c r="D70" s="21">
        <f>VLOOKUP(C70,$B$153:$E$223,2,)</f>
        <v>200</v>
      </c>
      <c r="E70" s="21">
        <f>VLOOKUP(C70,$B$153:$E$223,3,)*1000</f>
        <v>500</v>
      </c>
      <c r="F70" s="87">
        <v>0.95</v>
      </c>
      <c r="G70" s="21">
        <f>VLOOKUP(C70,$B$153:$G$223,6,)</f>
        <v>3</v>
      </c>
      <c r="H70" s="22">
        <f t="shared" ref="H70" si="64">IF(G70=3,E70/(220*1.732*F70),E70/220*F70)</f>
        <v>1.3812612572792469</v>
      </c>
      <c r="I70" s="6">
        <v>0.5</v>
      </c>
      <c r="J70" s="22">
        <f t="shared" si="54"/>
        <v>0.69063062863962343</v>
      </c>
      <c r="L70" s="7">
        <v>1</v>
      </c>
      <c r="M70" s="7">
        <v>1</v>
      </c>
      <c r="N70" s="7">
        <v>1</v>
      </c>
      <c r="P70" s="85" t="s">
        <v>116</v>
      </c>
      <c r="S70" s="6">
        <v>0.3</v>
      </c>
    </row>
    <row r="71" spans="2:19">
      <c r="B71" s="45" t="s">
        <v>213</v>
      </c>
      <c r="C71" s="6" t="str">
        <f t="shared" si="0"/>
        <v>MADL</v>
      </c>
      <c r="D71" s="21">
        <f>VLOOKUP(C71,$B$153:$E$223,2,)</f>
        <v>200</v>
      </c>
      <c r="E71" s="21">
        <f>VLOOKUP(C71,$B$153:$E$223,3,)*1000</f>
        <v>500</v>
      </c>
      <c r="F71" s="87">
        <v>0.95</v>
      </c>
      <c r="G71" s="21">
        <f>VLOOKUP(C71,$B$153:$G$223,6,)</f>
        <v>3</v>
      </c>
      <c r="H71" s="22">
        <f t="shared" ref="H71" si="65">IF(G71=3,E71/(220*1.732*F71),E71/220)</f>
        <v>1.3812612572792469</v>
      </c>
      <c r="I71" s="6">
        <v>0.5</v>
      </c>
      <c r="J71" s="22">
        <f t="shared" si="54"/>
        <v>0.69063062863962343</v>
      </c>
      <c r="L71" s="7">
        <v>1</v>
      </c>
      <c r="M71" s="7">
        <v>1</v>
      </c>
      <c r="N71" s="7">
        <v>1</v>
      </c>
      <c r="P71" s="71" t="s">
        <v>116</v>
      </c>
      <c r="S71" s="6">
        <v>0.3</v>
      </c>
    </row>
    <row r="72" spans="2:19">
      <c r="B72" s="46" t="s">
        <v>214</v>
      </c>
      <c r="C72" s="6" t="str">
        <f t="shared" si="0"/>
        <v>MDDL</v>
      </c>
      <c r="D72" s="21">
        <f>VLOOKUP(C72,$B$153:$E$223,2,)</f>
        <v>1500</v>
      </c>
      <c r="E72" s="21">
        <f>VLOOKUP(C72,$B$153:$E$223,3,)*1000</f>
        <v>2300</v>
      </c>
      <c r="F72" s="87">
        <v>0.95</v>
      </c>
      <c r="G72" s="21">
        <f>VLOOKUP(C72,$B$153:$G$223,6,)</f>
        <v>3</v>
      </c>
      <c r="H72" s="22">
        <f t="shared" ref="H72" si="66">IF(G72=3,E72/(220*1.732*F72),E72/220*F72)</f>
        <v>6.3538017834845357</v>
      </c>
      <c r="I72" s="6">
        <v>0.5</v>
      </c>
      <c r="J72" s="22">
        <f t="shared" si="54"/>
        <v>3.1769008917422679</v>
      </c>
      <c r="L72" s="7">
        <v>1</v>
      </c>
      <c r="M72" s="7">
        <v>1</v>
      </c>
      <c r="N72" s="7">
        <v>1</v>
      </c>
      <c r="P72" s="45" t="s">
        <v>180</v>
      </c>
      <c r="S72" s="6">
        <v>0.7</v>
      </c>
    </row>
    <row r="73" spans="2:19">
      <c r="B73" s="45" t="s">
        <v>215</v>
      </c>
      <c r="C73" s="6" t="str">
        <f t="shared" si="0"/>
        <v>MCDL</v>
      </c>
      <c r="D73" s="21">
        <f>VLOOKUP(C73,$B$153:$E$223,2,)</f>
        <v>750</v>
      </c>
      <c r="E73" s="21">
        <f>VLOOKUP(C73,$B$153:$E$223,3,)*1000</f>
        <v>1300</v>
      </c>
      <c r="F73" s="87">
        <v>0.95</v>
      </c>
      <c r="G73" s="21">
        <f>VLOOKUP(C73,$B$153:$G$223,6,)</f>
        <v>3</v>
      </c>
      <c r="H73" s="22">
        <f t="shared" ref="H73" si="67">IF(G73=3,E73/(220*1.732*F73),E73/220)</f>
        <v>3.5912792689260415</v>
      </c>
      <c r="I73" s="6">
        <v>0.5</v>
      </c>
      <c r="J73" s="22">
        <f t="shared" si="54"/>
        <v>1.7956396344630208</v>
      </c>
      <c r="L73" s="7">
        <v>1</v>
      </c>
      <c r="M73" s="7">
        <v>1</v>
      </c>
      <c r="N73" s="7">
        <v>1</v>
      </c>
      <c r="P73" s="45" t="s">
        <v>181</v>
      </c>
      <c r="S73" s="6">
        <v>0.7</v>
      </c>
    </row>
    <row r="74" spans="2:19">
      <c r="B74" s="45" t="s">
        <v>216</v>
      </c>
      <c r="C74" s="6" t="str">
        <f t="shared" si="0"/>
        <v>MADL</v>
      </c>
      <c r="D74" s="21">
        <f>VLOOKUP(C74,$B$153:$E$223,2,)</f>
        <v>200</v>
      </c>
      <c r="E74" s="21">
        <f>VLOOKUP(C74,$B$153:$E$223,3,)*1000</f>
        <v>500</v>
      </c>
      <c r="F74" s="87">
        <v>0.95</v>
      </c>
      <c r="G74" s="21">
        <f>VLOOKUP(C74,$B$153:$G$223,6,)</f>
        <v>3</v>
      </c>
      <c r="H74" s="22">
        <f t="shared" ref="H74" si="68">IF(G74=3,E74/(220*1.732*F74),E74/220*F74)</f>
        <v>1.3812612572792469</v>
      </c>
      <c r="I74" s="6">
        <v>0.5</v>
      </c>
      <c r="J74" s="22">
        <f t="shared" si="54"/>
        <v>0.69063062863962343</v>
      </c>
      <c r="L74" s="7">
        <v>1</v>
      </c>
      <c r="M74" s="7">
        <v>1</v>
      </c>
      <c r="N74" s="7">
        <v>1</v>
      </c>
      <c r="P74" s="86" t="s">
        <v>116</v>
      </c>
      <c r="S74" s="6">
        <v>0.5</v>
      </c>
    </row>
    <row r="75" spans="2:19">
      <c r="B75" s="45" t="s">
        <v>217</v>
      </c>
      <c r="C75" s="6" t="str">
        <f t="shared" si="0"/>
        <v>MADL</v>
      </c>
      <c r="D75" s="21">
        <f>VLOOKUP(C75,$B$153:$E$223,2,)</f>
        <v>200</v>
      </c>
      <c r="E75" s="21">
        <f>VLOOKUP(C75,$B$153:$E$223,3,)*1000</f>
        <v>500</v>
      </c>
      <c r="F75" s="87">
        <v>0.95</v>
      </c>
      <c r="G75" s="21">
        <f>VLOOKUP(C75,$B$153:$G$223,6,)</f>
        <v>3</v>
      </c>
      <c r="H75" s="22">
        <f t="shared" ref="H75" si="69">IF(G75=3,E75/(220*1.732*F75),E75/220)</f>
        <v>1.3812612572792469</v>
      </c>
      <c r="I75" s="6">
        <v>0.5</v>
      </c>
      <c r="J75" s="22">
        <f t="shared" si="54"/>
        <v>0.69063062863962343</v>
      </c>
      <c r="L75" s="7">
        <v>1</v>
      </c>
      <c r="M75" s="7">
        <v>1</v>
      </c>
      <c r="N75" s="7">
        <v>1</v>
      </c>
      <c r="P75" s="86" t="s">
        <v>116</v>
      </c>
      <c r="S75" s="6">
        <v>0.5</v>
      </c>
    </row>
    <row r="76" spans="2:19" ht="17.25" thickBot="1">
      <c r="L76" s="25">
        <f ca="1">SUMIF(L11:L75,1,$J$12:$J$75)</f>
        <v>60.7754953202869</v>
      </c>
      <c r="M76" s="25">
        <f ca="1">SUMIF(M11:M75,1,$J$12:$J$75)</f>
        <v>60.7754953202869</v>
      </c>
      <c r="N76" s="25">
        <f ca="1">SUMIF(N11:N75,1,$J$12:$J$75)</f>
        <v>60.7754953202869</v>
      </c>
    </row>
    <row r="77" spans="2:19" ht="17.25" thickBot="1">
      <c r="G77" s="7" t="s">
        <v>13</v>
      </c>
      <c r="H77" s="23">
        <f>SUM(H12:H75)</f>
        <v>121.5509906405738</v>
      </c>
      <c r="I77" s="13" t="s">
        <v>38</v>
      </c>
      <c r="J77" s="24">
        <f>(1.25*SUM(J12:J75))</f>
        <v>75.969369150358631</v>
      </c>
      <c r="S77" s="13" t="s">
        <v>38</v>
      </c>
    </row>
    <row r="78" spans="2:19">
      <c r="B78" s="14" t="s">
        <v>97</v>
      </c>
    </row>
    <row r="79" spans="2:19">
      <c r="B79" s="14"/>
    </row>
    <row r="80" spans="2:19" ht="17.25" thickBot="1">
      <c r="B80" s="14"/>
    </row>
    <row r="81" spans="2:19" ht="21" thickBot="1">
      <c r="B81" s="58" t="s">
        <v>34</v>
      </c>
      <c r="C81" s="59"/>
      <c r="D81" s="59"/>
      <c r="E81" s="59"/>
      <c r="F81" s="59"/>
      <c r="G81" s="59"/>
      <c r="H81" s="59"/>
      <c r="I81" s="59"/>
      <c r="J81" s="60"/>
    </row>
    <row r="82" spans="2:19">
      <c r="B82" s="14"/>
    </row>
    <row r="83" spans="2:19" ht="17.25" thickBot="1">
      <c r="B83" s="14"/>
    </row>
    <row r="84" spans="2:19" ht="17.25" thickBot="1">
      <c r="B84" s="52" t="s">
        <v>80</v>
      </c>
      <c r="C84" s="53"/>
      <c r="D84" s="54"/>
      <c r="J84">
        <v>20</v>
      </c>
    </row>
    <row r="85" spans="2:19">
      <c r="B85" s="15"/>
      <c r="C85" s="16"/>
      <c r="D85" s="17"/>
    </row>
    <row r="86" spans="2:19">
      <c r="B86" s="6" t="s">
        <v>81</v>
      </c>
      <c r="C86" s="55" t="s">
        <v>44</v>
      </c>
      <c r="D86" s="56"/>
      <c r="E86" s="56"/>
      <c r="F86" s="56"/>
      <c r="G86" s="57"/>
      <c r="H86" s="6" t="s">
        <v>46</v>
      </c>
      <c r="I86" s="6" t="s">
        <v>45</v>
      </c>
      <c r="J86" s="6" t="s">
        <v>13</v>
      </c>
      <c r="K86" s="93" t="s">
        <v>223</v>
      </c>
      <c r="L86" s="93" t="s">
        <v>222</v>
      </c>
      <c r="S86" s="6" t="s">
        <v>45</v>
      </c>
    </row>
    <row r="87" spans="2:19">
      <c r="B87" s="6" t="s">
        <v>79</v>
      </c>
      <c r="C87" s="55" t="s">
        <v>140</v>
      </c>
      <c r="D87" s="56"/>
      <c r="E87" s="56"/>
      <c r="F87" s="56"/>
      <c r="G87" s="57"/>
      <c r="H87" s="8">
        <v>1</v>
      </c>
      <c r="I87" s="8">
        <v>1500</v>
      </c>
      <c r="J87" s="8">
        <f>I87*H87</f>
        <v>1500</v>
      </c>
      <c r="S87" s="8">
        <v>4300</v>
      </c>
    </row>
    <row r="88" spans="2:19">
      <c r="B88" s="6" t="s">
        <v>79</v>
      </c>
      <c r="C88" s="55" t="s">
        <v>141</v>
      </c>
      <c r="D88" s="56"/>
      <c r="E88" s="56"/>
      <c r="F88" s="56"/>
      <c r="G88" s="57"/>
      <c r="H88" s="8">
        <v>3</v>
      </c>
      <c r="I88" s="8">
        <v>4500</v>
      </c>
      <c r="J88" s="8">
        <f>I88*H88</f>
        <v>13500</v>
      </c>
      <c r="L88" t="s">
        <v>237</v>
      </c>
      <c r="S88" s="8">
        <v>7300</v>
      </c>
    </row>
    <row r="89" spans="2:19">
      <c r="B89" s="6" t="s">
        <v>84</v>
      </c>
      <c r="C89" s="55" t="s">
        <v>142</v>
      </c>
      <c r="D89" s="56"/>
      <c r="E89" s="56"/>
      <c r="F89" s="56"/>
      <c r="G89" s="57"/>
      <c r="H89" s="8">
        <v>10</v>
      </c>
      <c r="I89" s="8">
        <v>500</v>
      </c>
      <c r="J89" s="8">
        <f>I89*H89</f>
        <v>5000</v>
      </c>
      <c r="K89">
        <f>1000/220</f>
        <v>4.5454545454545459</v>
      </c>
      <c r="L89" t="s">
        <v>224</v>
      </c>
      <c r="S89" s="8">
        <v>500</v>
      </c>
    </row>
    <row r="90" spans="2:19" ht="33">
      <c r="B90" s="5" t="s">
        <v>82</v>
      </c>
      <c r="C90" s="55" t="s">
        <v>126</v>
      </c>
      <c r="D90" s="56"/>
      <c r="E90" s="56"/>
      <c r="F90" s="56"/>
      <c r="G90" s="57"/>
      <c r="H90" s="8">
        <v>2</v>
      </c>
      <c r="I90" s="8">
        <v>2400</v>
      </c>
      <c r="J90" s="8">
        <f t="shared" ref="J90:J91" si="70">I90*H90</f>
        <v>4800</v>
      </c>
      <c r="L90" t="s">
        <v>224</v>
      </c>
      <c r="S90" s="8">
        <v>2400</v>
      </c>
    </row>
    <row r="91" spans="2:19">
      <c r="B91" s="5"/>
      <c r="C91" s="55"/>
      <c r="D91" s="56"/>
      <c r="E91" s="56"/>
      <c r="F91" s="56"/>
      <c r="G91" s="57"/>
      <c r="H91" s="8">
        <v>1</v>
      </c>
      <c r="I91" s="8">
        <v>1200</v>
      </c>
      <c r="J91" s="8">
        <f t="shared" si="70"/>
        <v>1200</v>
      </c>
      <c r="S91" s="8"/>
    </row>
    <row r="92" spans="2:19">
      <c r="B92" s="5"/>
      <c r="C92" s="55"/>
      <c r="D92" s="56"/>
      <c r="E92" s="56"/>
      <c r="F92" s="56"/>
      <c r="G92" s="57"/>
      <c r="H92" s="8"/>
      <c r="I92" s="8"/>
      <c r="J92" s="8"/>
      <c r="S92" s="8"/>
    </row>
    <row r="93" spans="2:19">
      <c r="B93" s="5"/>
      <c r="C93" s="55"/>
      <c r="D93" s="56"/>
      <c r="E93" s="56"/>
      <c r="F93" s="56"/>
      <c r="G93" s="57"/>
      <c r="H93" s="8"/>
      <c r="I93" s="8"/>
      <c r="J93" s="8"/>
      <c r="S93" s="8"/>
    </row>
    <row r="94" spans="2:19">
      <c r="B94" s="5"/>
      <c r="C94" s="55"/>
      <c r="D94" s="56"/>
      <c r="E94" s="56"/>
      <c r="F94" s="56"/>
      <c r="G94" s="57"/>
      <c r="H94" s="8"/>
      <c r="I94" s="8"/>
      <c r="J94" s="8"/>
      <c r="S94" s="8"/>
    </row>
    <row r="95" spans="2:19">
      <c r="B95" s="5"/>
      <c r="C95" s="55"/>
      <c r="D95" s="56"/>
      <c r="E95" s="56"/>
      <c r="F95" s="56"/>
      <c r="G95" s="57"/>
      <c r="H95" s="8"/>
      <c r="I95" s="8"/>
      <c r="J95" s="8"/>
      <c r="S95" s="8"/>
    </row>
    <row r="96" spans="2:19">
      <c r="B96" s="3"/>
      <c r="D96" s="1"/>
      <c r="E96" s="1"/>
      <c r="F96" s="1"/>
      <c r="G96" s="1"/>
      <c r="H96" s="26"/>
      <c r="I96" s="26"/>
      <c r="J96" s="26"/>
      <c r="S96" s="26"/>
    </row>
    <row r="97" spans="1:19" ht="17.25" thickBot="1">
      <c r="L97" s="19"/>
    </row>
    <row r="98" spans="1:19" ht="17.25" thickBot="1">
      <c r="H98" s="1"/>
      <c r="I98" s="9" t="s">
        <v>36</v>
      </c>
      <c r="J98" s="12">
        <f>SUM(J87:J97)</f>
        <v>26000</v>
      </c>
      <c r="S98" s="9" t="s">
        <v>36</v>
      </c>
    </row>
    <row r="99" spans="1:19">
      <c r="J99" s="10" t="s">
        <v>37</v>
      </c>
    </row>
    <row r="101" spans="1:19" ht="17.25" thickBot="1"/>
    <row r="102" spans="1:19" ht="21" thickBot="1">
      <c r="B102" s="58" t="s">
        <v>35</v>
      </c>
      <c r="C102" s="59"/>
      <c r="D102" s="59"/>
      <c r="E102" s="59"/>
      <c r="F102" s="59"/>
      <c r="G102" s="59"/>
      <c r="H102" s="59"/>
      <c r="I102" s="59"/>
      <c r="J102" s="60"/>
    </row>
    <row r="103" spans="1:19" ht="17.25" thickBot="1">
      <c r="L103" t="s">
        <v>144</v>
      </c>
      <c r="M103" s="20">
        <f>J109+J110+J111</f>
        <v>10280</v>
      </c>
    </row>
    <row r="104" spans="1:19" ht="17.25" thickBot="1">
      <c r="H104" s="52" t="s">
        <v>78</v>
      </c>
      <c r="I104" s="54"/>
      <c r="J104" s="18">
        <f>J140+J125</f>
        <v>39180</v>
      </c>
      <c r="L104" t="s">
        <v>145</v>
      </c>
      <c r="M104" s="20">
        <f>SUM(J113,J114,J115,J116,J112)</f>
        <v>13300</v>
      </c>
    </row>
    <row r="105" spans="1:19" ht="17.25" thickBot="1">
      <c r="H105" s="1"/>
      <c r="I105" s="1"/>
      <c r="J105" s="10" t="s">
        <v>37</v>
      </c>
      <c r="L105" t="s">
        <v>146</v>
      </c>
      <c r="M105" s="20">
        <f>SUM(J117:J124,J133:J136)</f>
        <v>13600</v>
      </c>
      <c r="S105" s="1"/>
    </row>
    <row r="106" spans="1:19" ht="17.25" thickBot="1">
      <c r="B106" s="52" t="s">
        <v>40</v>
      </c>
      <c r="C106" s="53"/>
      <c r="D106" s="54"/>
    </row>
    <row r="107" spans="1:19">
      <c r="B107" s="15" t="s">
        <v>47</v>
      </c>
      <c r="C107" s="16"/>
      <c r="D107" s="17" t="s">
        <v>48</v>
      </c>
    </row>
    <row r="108" spans="1:19">
      <c r="B108" s="6" t="s">
        <v>41</v>
      </c>
      <c r="C108" s="6" t="s">
        <v>44</v>
      </c>
      <c r="D108" s="6"/>
      <c r="E108" s="6"/>
      <c r="F108" s="6"/>
      <c r="G108" s="6"/>
      <c r="H108" s="6" t="s">
        <v>46</v>
      </c>
      <c r="I108" s="6" t="s">
        <v>45</v>
      </c>
      <c r="J108" s="6" t="s">
        <v>25</v>
      </c>
      <c r="S108" s="6" t="s">
        <v>45</v>
      </c>
    </row>
    <row r="109" spans="1:19">
      <c r="A109" t="s">
        <v>144</v>
      </c>
      <c r="B109" s="6" t="s">
        <v>42</v>
      </c>
      <c r="C109" s="6" t="s">
        <v>98</v>
      </c>
      <c r="D109" s="6"/>
      <c r="E109" s="6"/>
      <c r="F109" s="6"/>
      <c r="G109" s="6"/>
      <c r="H109" s="8">
        <v>64</v>
      </c>
      <c r="I109" s="8">
        <v>10</v>
      </c>
      <c r="J109" s="8">
        <f t="shared" ref="J109:J114" si="71">H109*I109</f>
        <v>640</v>
      </c>
      <c r="K109" s="20">
        <f>SUM(J109:J112)</f>
        <v>10340</v>
      </c>
      <c r="L109" s="20"/>
      <c r="S109" s="8">
        <v>10</v>
      </c>
    </row>
    <row r="110" spans="1:19">
      <c r="A110" t="s">
        <v>144</v>
      </c>
      <c r="B110" s="6" t="s">
        <v>109</v>
      </c>
      <c r="C110" s="6"/>
      <c r="D110" s="6"/>
      <c r="E110" s="6"/>
      <c r="F110" s="6"/>
      <c r="G110" s="6"/>
      <c r="H110" s="8">
        <v>18</v>
      </c>
      <c r="I110" s="8">
        <v>500</v>
      </c>
      <c r="J110" s="8">
        <f t="shared" si="71"/>
        <v>9000</v>
      </c>
      <c r="S110" s="8">
        <v>500</v>
      </c>
    </row>
    <row r="111" spans="1:19">
      <c r="A111" t="s">
        <v>144</v>
      </c>
      <c r="B111" s="6" t="s">
        <v>43</v>
      </c>
      <c r="C111" s="6"/>
      <c r="D111" s="6"/>
      <c r="E111" s="6"/>
      <c r="F111" s="6"/>
      <c r="G111" s="6"/>
      <c r="H111" s="8">
        <v>64</v>
      </c>
      <c r="I111" s="8">
        <v>10</v>
      </c>
      <c r="J111" s="8">
        <f>H111*I111</f>
        <v>640</v>
      </c>
      <c r="S111" s="8">
        <v>10</v>
      </c>
    </row>
    <row r="112" spans="1:19">
      <c r="A112" t="s">
        <v>144</v>
      </c>
      <c r="B112" s="6" t="s">
        <v>125</v>
      </c>
      <c r="C112" s="6"/>
      <c r="D112" s="6"/>
      <c r="E112" s="6"/>
      <c r="F112" s="6"/>
      <c r="G112" s="6"/>
      <c r="H112" s="8">
        <v>6</v>
      </c>
      <c r="I112" s="8">
        <v>10</v>
      </c>
      <c r="J112" s="8">
        <f>H112*I112</f>
        <v>60</v>
      </c>
      <c r="S112" s="8">
        <v>10</v>
      </c>
    </row>
    <row r="113" spans="1:19">
      <c r="A113" t="s">
        <v>145</v>
      </c>
      <c r="B113" s="6" t="s">
        <v>143</v>
      </c>
      <c r="C113" s="6"/>
      <c r="D113" s="6"/>
      <c r="E113" s="6"/>
      <c r="F113" s="6"/>
      <c r="G113" s="6"/>
      <c r="H113" s="8">
        <v>10</v>
      </c>
      <c r="I113" s="8">
        <v>300</v>
      </c>
      <c r="J113" s="8">
        <f>H113*I113</f>
        <v>3000</v>
      </c>
      <c r="K113" s="20">
        <f>SUM(J113:J116)</f>
        <v>13240</v>
      </c>
      <c r="L113" s="20">
        <f>SUM(J114:J116)</f>
        <v>10240</v>
      </c>
      <c r="S113" s="8">
        <v>300</v>
      </c>
    </row>
    <row r="114" spans="1:19">
      <c r="A114" t="s">
        <v>145</v>
      </c>
      <c r="B114" s="6" t="s">
        <v>76</v>
      </c>
      <c r="C114" s="6" t="s">
        <v>225</v>
      </c>
      <c r="D114" s="6"/>
      <c r="E114" s="6"/>
      <c r="F114" s="6"/>
      <c r="G114" s="6"/>
      <c r="H114" s="8">
        <v>18</v>
      </c>
      <c r="I114" s="8">
        <v>130</v>
      </c>
      <c r="J114" s="8">
        <f t="shared" si="71"/>
        <v>2340</v>
      </c>
      <c r="S114" s="8">
        <v>130</v>
      </c>
    </row>
    <row r="115" spans="1:19">
      <c r="A115" t="s">
        <v>145</v>
      </c>
      <c r="B115" s="6" t="s">
        <v>29</v>
      </c>
      <c r="C115" s="48" t="s">
        <v>30</v>
      </c>
      <c r="D115" s="48"/>
      <c r="E115" s="48"/>
      <c r="F115" s="48"/>
      <c r="G115" s="48"/>
      <c r="H115" s="8">
        <v>250</v>
      </c>
      <c r="I115" s="8">
        <v>10</v>
      </c>
      <c r="J115" s="8">
        <f>H115*I115</f>
        <v>2500</v>
      </c>
      <c r="S115" s="8">
        <v>10</v>
      </c>
    </row>
    <row r="116" spans="1:19">
      <c r="A116" t="s">
        <v>145</v>
      </c>
      <c r="B116" s="6" t="s">
        <v>28</v>
      </c>
      <c r="C116" s="48" t="s">
        <v>88</v>
      </c>
      <c r="D116" s="48"/>
      <c r="E116" s="48"/>
      <c r="F116" s="48"/>
      <c r="G116" s="48"/>
      <c r="H116" s="8">
        <v>180</v>
      </c>
      <c r="I116" s="11">
        <v>30</v>
      </c>
      <c r="J116" s="11">
        <f>H116*I116</f>
        <v>5400</v>
      </c>
      <c r="S116" s="11">
        <v>30</v>
      </c>
    </row>
    <row r="117" spans="1:19">
      <c r="A117" t="s">
        <v>236</v>
      </c>
      <c r="B117" s="6" t="s">
        <v>85</v>
      </c>
      <c r="C117" s="44" t="s">
        <v>121</v>
      </c>
      <c r="D117" s="32" t="s">
        <v>228</v>
      </c>
      <c r="E117" s="28"/>
      <c r="F117" s="28"/>
      <c r="G117" s="29"/>
      <c r="H117" s="6">
        <v>1</v>
      </c>
      <c r="I117" s="6">
        <v>1200</v>
      </c>
      <c r="J117" s="8">
        <f>H117*I117</f>
        <v>1200</v>
      </c>
      <c r="K117" s="20">
        <f>SUM(J117:J124)</f>
        <v>9600</v>
      </c>
      <c r="S117" s="6">
        <v>1200</v>
      </c>
    </row>
    <row r="118" spans="1:19">
      <c r="A118" t="s">
        <v>236</v>
      </c>
      <c r="B118" s="6" t="s">
        <v>104</v>
      </c>
      <c r="C118" s="44" t="s">
        <v>130</v>
      </c>
      <c r="D118" s="32" t="s">
        <v>124</v>
      </c>
      <c r="E118" s="28"/>
      <c r="F118" s="28"/>
      <c r="G118" s="29"/>
      <c r="H118" s="6">
        <v>1</v>
      </c>
      <c r="I118" s="6">
        <v>1200</v>
      </c>
      <c r="J118" s="8">
        <f t="shared" ref="J118:J120" si="72">H118*I118</f>
        <v>1200</v>
      </c>
      <c r="S118" s="6">
        <v>1200</v>
      </c>
    </row>
    <row r="119" spans="1:19">
      <c r="A119" t="s">
        <v>236</v>
      </c>
      <c r="B119" s="6" t="s">
        <v>105</v>
      </c>
      <c r="C119" s="44" t="s">
        <v>226</v>
      </c>
      <c r="D119" s="32" t="s">
        <v>124</v>
      </c>
      <c r="E119" s="28"/>
      <c r="F119" s="28"/>
      <c r="G119" s="29"/>
      <c r="H119" s="6">
        <v>1</v>
      </c>
      <c r="I119" s="6">
        <v>1200</v>
      </c>
      <c r="J119" s="8">
        <f t="shared" si="72"/>
        <v>1200</v>
      </c>
      <c r="S119" s="6">
        <v>1200</v>
      </c>
    </row>
    <row r="120" spans="1:19">
      <c r="A120" t="s">
        <v>236</v>
      </c>
      <c r="B120" s="6" t="s">
        <v>106</v>
      </c>
      <c r="C120" s="44" t="s">
        <v>227</v>
      </c>
      <c r="D120" s="31" t="s">
        <v>124</v>
      </c>
      <c r="E120" s="28"/>
      <c r="F120" s="28"/>
      <c r="G120" s="29"/>
      <c r="H120" s="6">
        <v>1</v>
      </c>
      <c r="I120" s="6">
        <v>1200</v>
      </c>
      <c r="J120" s="8">
        <f t="shared" si="72"/>
        <v>1200</v>
      </c>
      <c r="S120" s="6">
        <v>1200</v>
      </c>
    </row>
    <row r="121" spans="1:19">
      <c r="A121" t="s">
        <v>236</v>
      </c>
      <c r="B121" s="34" t="s">
        <v>136</v>
      </c>
      <c r="C121" s="46" t="s">
        <v>131</v>
      </c>
      <c r="D121" s="32" t="s">
        <v>107</v>
      </c>
      <c r="E121" s="28"/>
      <c r="F121" s="28"/>
      <c r="G121" s="29"/>
      <c r="H121" s="6">
        <v>1</v>
      </c>
      <c r="I121" s="6">
        <v>1200</v>
      </c>
      <c r="J121" s="8">
        <f>H121*I121</f>
        <v>1200</v>
      </c>
      <c r="S121" s="6">
        <v>1200</v>
      </c>
    </row>
    <row r="122" spans="1:19">
      <c r="A122" t="s">
        <v>236</v>
      </c>
      <c r="B122" s="6" t="s">
        <v>137</v>
      </c>
      <c r="C122" s="45" t="s">
        <v>132</v>
      </c>
      <c r="D122" s="32" t="s">
        <v>124</v>
      </c>
      <c r="E122" s="28"/>
      <c r="F122" s="28"/>
      <c r="G122" s="29"/>
      <c r="H122" s="6">
        <v>1</v>
      </c>
      <c r="I122" s="6">
        <v>1200</v>
      </c>
      <c r="J122" s="8">
        <f t="shared" ref="J122:J124" si="73">H122*I122</f>
        <v>1200</v>
      </c>
      <c r="S122" s="6">
        <v>1200</v>
      </c>
    </row>
    <row r="123" spans="1:19">
      <c r="A123" t="s">
        <v>236</v>
      </c>
      <c r="B123" s="6" t="s">
        <v>138</v>
      </c>
      <c r="C123" s="45" t="s">
        <v>133</v>
      </c>
      <c r="D123" s="32" t="s">
        <v>122</v>
      </c>
      <c r="E123" s="28"/>
      <c r="F123" s="28"/>
      <c r="G123" s="29"/>
      <c r="H123" s="6">
        <v>1</v>
      </c>
      <c r="I123" s="6">
        <v>1200</v>
      </c>
      <c r="J123" s="8">
        <f t="shared" si="73"/>
        <v>1200</v>
      </c>
      <c r="L123" s="20"/>
      <c r="S123" s="6">
        <v>1200</v>
      </c>
    </row>
    <row r="124" spans="1:19">
      <c r="A124" t="s">
        <v>236</v>
      </c>
      <c r="B124" s="6" t="s">
        <v>139</v>
      </c>
      <c r="C124" s="45" t="s">
        <v>134</v>
      </c>
      <c r="D124" s="31" t="s">
        <v>122</v>
      </c>
      <c r="E124" s="28"/>
      <c r="F124" s="28"/>
      <c r="G124" s="29"/>
      <c r="H124" s="6">
        <v>1</v>
      </c>
      <c r="I124" s="6">
        <v>1200</v>
      </c>
      <c r="J124" s="8">
        <f t="shared" si="73"/>
        <v>1200</v>
      </c>
      <c r="S124" s="6">
        <v>1200</v>
      </c>
    </row>
    <row r="125" spans="1:19" ht="17.25" thickBot="1">
      <c r="H125" s="1"/>
      <c r="I125" s="38" t="s">
        <v>36</v>
      </c>
      <c r="J125" s="39">
        <f>SUM(J109:J124)</f>
        <v>33180</v>
      </c>
      <c r="S125" s="38" t="s">
        <v>36</v>
      </c>
    </row>
    <row r="126" spans="1:19">
      <c r="J126" s="10" t="s">
        <v>37</v>
      </c>
    </row>
    <row r="127" spans="1:19">
      <c r="B127" s="14" t="s">
        <v>39</v>
      </c>
    </row>
    <row r="129" spans="2:19" ht="17.25" thickBot="1"/>
    <row r="130" spans="2:19" ht="17.25" thickBot="1">
      <c r="B130" s="52" t="s">
        <v>49</v>
      </c>
      <c r="C130" s="53"/>
      <c r="D130" s="54"/>
    </row>
    <row r="131" spans="2:19">
      <c r="B131" s="15" t="s">
        <v>47</v>
      </c>
      <c r="C131" s="16"/>
      <c r="D131" s="17" t="s">
        <v>77</v>
      </c>
    </row>
    <row r="132" spans="2:19" ht="17.25" thickBot="1">
      <c r="B132" s="6" t="s">
        <v>27</v>
      </c>
      <c r="C132" s="48" t="s">
        <v>31</v>
      </c>
      <c r="D132" s="48"/>
      <c r="E132" s="48"/>
      <c r="F132" s="48"/>
      <c r="G132" s="48"/>
      <c r="H132" s="6" t="s">
        <v>46</v>
      </c>
      <c r="I132" s="6" t="s">
        <v>32</v>
      </c>
      <c r="J132" s="6" t="s">
        <v>25</v>
      </c>
      <c r="L132" t="s">
        <v>108</v>
      </c>
      <c r="S132" s="6" t="s">
        <v>32</v>
      </c>
    </row>
    <row r="133" spans="2:19">
      <c r="B133" s="6" t="s">
        <v>85</v>
      </c>
      <c r="C133" s="40" t="s">
        <v>229</v>
      </c>
      <c r="D133" s="35" t="s">
        <v>238</v>
      </c>
      <c r="E133" s="33"/>
      <c r="F133" s="33"/>
      <c r="G133" s="41"/>
      <c r="H133" s="6">
        <v>1</v>
      </c>
      <c r="I133" s="6">
        <v>1000</v>
      </c>
      <c r="J133" s="8">
        <f t="shared" ref="J133:J138" si="74">H133*I133</f>
        <v>1000</v>
      </c>
      <c r="S133" s="6">
        <v>1000</v>
      </c>
    </row>
    <row r="134" spans="2:19">
      <c r="B134" s="6" t="s">
        <v>104</v>
      </c>
      <c r="C134" s="36" t="s">
        <v>230</v>
      </c>
      <c r="D134" s="42" t="s">
        <v>235</v>
      </c>
      <c r="E134" s="28"/>
      <c r="F134" s="28"/>
      <c r="G134" s="29"/>
      <c r="H134" s="6">
        <v>1</v>
      </c>
      <c r="I134" s="6">
        <v>1000</v>
      </c>
      <c r="J134" s="8">
        <f t="shared" si="74"/>
        <v>1000</v>
      </c>
      <c r="S134" s="6">
        <v>1000</v>
      </c>
    </row>
    <row r="135" spans="2:19">
      <c r="B135" s="6" t="s">
        <v>105</v>
      </c>
      <c r="C135" s="36" t="s">
        <v>231</v>
      </c>
      <c r="D135" s="42" t="s">
        <v>235</v>
      </c>
      <c r="E135" s="28"/>
      <c r="F135" s="28"/>
      <c r="G135" s="29"/>
      <c r="H135" s="6">
        <v>1</v>
      </c>
      <c r="I135" s="6">
        <v>1000</v>
      </c>
      <c r="J135" s="8">
        <f t="shared" si="74"/>
        <v>1000</v>
      </c>
      <c r="S135" s="6">
        <v>1000</v>
      </c>
    </row>
    <row r="136" spans="2:19" ht="17.25" thickBot="1">
      <c r="B136" s="6" t="s">
        <v>106</v>
      </c>
      <c r="C136" s="36" t="s">
        <v>232</v>
      </c>
      <c r="D136" s="37" t="s">
        <v>235</v>
      </c>
      <c r="E136" s="28"/>
      <c r="F136" s="28"/>
      <c r="G136" s="29"/>
      <c r="H136" s="6">
        <v>1</v>
      </c>
      <c r="I136" s="6">
        <v>1000</v>
      </c>
      <c r="J136" s="8">
        <f t="shared" si="74"/>
        <v>1000</v>
      </c>
      <c r="S136" s="6">
        <v>1000</v>
      </c>
    </row>
    <row r="137" spans="2:19">
      <c r="B137" s="6" t="s">
        <v>135</v>
      </c>
      <c r="C137" s="36" t="s">
        <v>233</v>
      </c>
      <c r="D137" s="30"/>
      <c r="E137" s="28"/>
      <c r="F137" s="28"/>
      <c r="G137" s="29"/>
      <c r="H137" s="6">
        <v>1</v>
      </c>
      <c r="I137" s="6">
        <v>1000</v>
      </c>
      <c r="J137" s="8">
        <f t="shared" si="74"/>
        <v>1000</v>
      </c>
      <c r="S137" s="6">
        <v>1000</v>
      </c>
    </row>
    <row r="138" spans="2:19">
      <c r="B138" s="6" t="s">
        <v>123</v>
      </c>
      <c r="C138" s="36" t="s">
        <v>234</v>
      </c>
      <c r="D138" s="28"/>
      <c r="E138" s="28"/>
      <c r="F138" s="28"/>
      <c r="G138" s="29"/>
      <c r="H138" s="6">
        <v>1</v>
      </c>
      <c r="I138" s="6">
        <v>1000</v>
      </c>
      <c r="J138" s="8">
        <f t="shared" si="74"/>
        <v>1000</v>
      </c>
      <c r="S138" s="6">
        <v>1000</v>
      </c>
    </row>
    <row r="139" spans="2:19" ht="17.25" thickBot="1">
      <c r="B139" s="6"/>
      <c r="C139" s="27"/>
      <c r="D139" s="28"/>
      <c r="E139" s="28"/>
      <c r="F139" s="28"/>
      <c r="G139" s="29"/>
      <c r="H139" s="6"/>
      <c r="I139" s="6"/>
      <c r="J139" s="8"/>
      <c r="S139" s="6"/>
    </row>
    <row r="140" spans="2:19" ht="17.25" thickBot="1">
      <c r="H140" s="1"/>
      <c r="I140" s="9" t="s">
        <v>36</v>
      </c>
      <c r="J140" s="12">
        <f>SUM(J133:J139)</f>
        <v>6000</v>
      </c>
      <c r="S140" s="9" t="s">
        <v>36</v>
      </c>
    </row>
    <row r="141" spans="2:19">
      <c r="J141" s="10" t="s">
        <v>37</v>
      </c>
    </row>
    <row r="142" spans="2:19">
      <c r="J142" s="10"/>
    </row>
    <row r="143" spans="2:19">
      <c r="J143" s="10"/>
    </row>
    <row r="144" spans="2:19">
      <c r="B144" s="14"/>
    </row>
    <row r="148" spans="1:7" ht="17.25" thickBot="1"/>
    <row r="149" spans="1:7" ht="17.25" thickBot="1">
      <c r="B149" s="49" t="s">
        <v>51</v>
      </c>
      <c r="C149" s="50"/>
      <c r="D149" s="51"/>
    </row>
    <row r="150" spans="1:7">
      <c r="C150"/>
    </row>
    <row r="151" spans="1:7">
      <c r="C151"/>
    </row>
    <row r="152" spans="1:7">
      <c r="B152" s="7" t="s">
        <v>95</v>
      </c>
      <c r="C152" s="6" t="s">
        <v>60</v>
      </c>
      <c r="D152" s="6" t="s">
        <v>61</v>
      </c>
      <c r="E152" s="6" t="s">
        <v>62</v>
      </c>
      <c r="F152" s="6"/>
      <c r="G152" s="6" t="s">
        <v>96</v>
      </c>
    </row>
    <row r="153" spans="1:7">
      <c r="A153" s="7" t="s">
        <v>52</v>
      </c>
      <c r="B153" s="6" t="s">
        <v>54</v>
      </c>
      <c r="C153" s="6">
        <v>50</v>
      </c>
      <c r="D153" s="6">
        <v>0.25</v>
      </c>
      <c r="E153" s="6">
        <v>4</v>
      </c>
      <c r="F153" s="6"/>
      <c r="G153" s="6">
        <v>1</v>
      </c>
    </row>
    <row r="154" spans="1:7">
      <c r="A154" s="6" t="s">
        <v>53</v>
      </c>
      <c r="B154" s="6" t="s">
        <v>55</v>
      </c>
      <c r="C154" s="6">
        <v>100</v>
      </c>
      <c r="D154" s="6">
        <v>0.4</v>
      </c>
      <c r="E154" s="6">
        <v>4</v>
      </c>
      <c r="F154" s="6"/>
      <c r="G154" s="6">
        <v>1</v>
      </c>
    </row>
    <row r="155" spans="1:7">
      <c r="B155" s="6" t="s">
        <v>56</v>
      </c>
      <c r="C155" s="6">
        <v>200</v>
      </c>
      <c r="D155" s="6">
        <v>0.75</v>
      </c>
      <c r="E155" s="6">
        <v>4</v>
      </c>
      <c r="F155" s="6"/>
      <c r="G155" s="6">
        <v>1</v>
      </c>
    </row>
    <row r="156" spans="1:7">
      <c r="B156" s="6" t="s">
        <v>72</v>
      </c>
      <c r="C156" s="6">
        <v>400</v>
      </c>
      <c r="D156" s="6">
        <v>1.2</v>
      </c>
      <c r="E156" s="6">
        <v>8</v>
      </c>
      <c r="F156" s="6"/>
      <c r="G156" s="6">
        <v>1</v>
      </c>
    </row>
    <row r="157" spans="1:7">
      <c r="B157" s="6" t="s">
        <v>57</v>
      </c>
      <c r="C157" s="6">
        <v>800</v>
      </c>
      <c r="D157" s="6">
        <v>2.2999999999999998</v>
      </c>
      <c r="E157" s="6">
        <v>8</v>
      </c>
      <c r="F157" s="6"/>
      <c r="G157" s="6">
        <v>3</v>
      </c>
    </row>
    <row r="158" spans="1:7">
      <c r="B158" s="6" t="s">
        <v>58</v>
      </c>
      <c r="C158" s="6">
        <v>1000</v>
      </c>
      <c r="D158" s="6">
        <v>2.2999999999999998</v>
      </c>
      <c r="E158" s="6">
        <v>8</v>
      </c>
      <c r="F158" s="6"/>
      <c r="G158" s="6">
        <v>3</v>
      </c>
    </row>
    <row r="159" spans="1:7">
      <c r="B159" s="6" t="s">
        <v>59</v>
      </c>
      <c r="C159" s="6">
        <v>1500</v>
      </c>
      <c r="D159" s="6">
        <v>3.2</v>
      </c>
      <c r="E159" s="6">
        <v>10</v>
      </c>
      <c r="F159" s="6"/>
      <c r="G159" s="6">
        <v>3</v>
      </c>
    </row>
    <row r="160" spans="1:7">
      <c r="A160" s="7" t="s">
        <v>63</v>
      </c>
      <c r="B160" s="6" t="s">
        <v>94</v>
      </c>
      <c r="C160" s="6">
        <v>50</v>
      </c>
      <c r="D160" s="6">
        <v>0.2</v>
      </c>
      <c r="E160" s="6">
        <v>1</v>
      </c>
      <c r="F160" s="6"/>
      <c r="G160" s="6">
        <v>3</v>
      </c>
    </row>
    <row r="161" spans="1:7">
      <c r="A161" s="6" t="s">
        <v>53</v>
      </c>
      <c r="B161" s="6" t="s">
        <v>64</v>
      </c>
      <c r="C161" s="6">
        <v>100</v>
      </c>
      <c r="D161" s="6">
        <v>0.3</v>
      </c>
      <c r="E161" s="6">
        <v>1</v>
      </c>
      <c r="F161" s="6"/>
      <c r="G161" s="6">
        <v>3</v>
      </c>
    </row>
    <row r="162" spans="1:7">
      <c r="B162" s="6" t="s">
        <v>65</v>
      </c>
      <c r="C162" s="6">
        <v>200</v>
      </c>
      <c r="D162" s="6">
        <v>0.6</v>
      </c>
      <c r="E162" s="6">
        <v>2</v>
      </c>
      <c r="F162" s="6"/>
      <c r="G162" s="6">
        <v>3</v>
      </c>
    </row>
    <row r="163" spans="1:7">
      <c r="B163" s="6" t="s">
        <v>66</v>
      </c>
      <c r="C163" s="6">
        <v>400</v>
      </c>
      <c r="D163" s="6">
        <v>1</v>
      </c>
      <c r="E163" s="6">
        <v>3</v>
      </c>
      <c r="F163" s="6"/>
      <c r="G163" s="6">
        <v>3</v>
      </c>
    </row>
    <row r="164" spans="1:7">
      <c r="B164" s="6" t="s">
        <v>67</v>
      </c>
      <c r="C164" s="6">
        <v>500</v>
      </c>
      <c r="D164" s="6">
        <v>1.4</v>
      </c>
      <c r="E164" s="6">
        <v>3</v>
      </c>
      <c r="F164" s="6"/>
      <c r="G164" s="6">
        <v>3</v>
      </c>
    </row>
    <row r="165" spans="1:7">
      <c r="B165" s="6" t="s">
        <v>68</v>
      </c>
      <c r="C165" s="6">
        <v>750</v>
      </c>
      <c r="D165" s="6">
        <v>1.6</v>
      </c>
      <c r="E165" s="6">
        <v>6</v>
      </c>
      <c r="F165" s="6"/>
      <c r="G165" s="6">
        <v>3</v>
      </c>
    </row>
    <row r="166" spans="1:7">
      <c r="B166" s="6" t="s">
        <v>69</v>
      </c>
      <c r="C166" s="6">
        <v>1000</v>
      </c>
      <c r="D166" s="6">
        <v>2.2999999999999998</v>
      </c>
      <c r="E166" s="6">
        <v>6</v>
      </c>
      <c r="F166" s="6"/>
      <c r="G166" s="6">
        <v>3</v>
      </c>
    </row>
    <row r="167" spans="1:7">
      <c r="B167" s="6" t="s">
        <v>70</v>
      </c>
      <c r="C167" s="6">
        <v>1500</v>
      </c>
      <c r="D167" s="6">
        <v>3.2</v>
      </c>
      <c r="E167" s="6">
        <v>7.3</v>
      </c>
      <c r="F167" s="6"/>
      <c r="G167" s="6">
        <v>3</v>
      </c>
    </row>
    <row r="168" spans="1:7">
      <c r="B168" s="6" t="s">
        <v>71</v>
      </c>
      <c r="C168" s="6">
        <v>2000</v>
      </c>
      <c r="D168" s="6">
        <v>4</v>
      </c>
      <c r="E168" s="6">
        <v>9.6999999999999993</v>
      </c>
      <c r="F168" s="6"/>
      <c r="G168" s="6">
        <v>3</v>
      </c>
    </row>
    <row r="169" spans="1:7">
      <c r="A169" s="7" t="s">
        <v>87</v>
      </c>
      <c r="B169" s="6" t="s">
        <v>89</v>
      </c>
      <c r="C169" s="6">
        <v>200</v>
      </c>
      <c r="D169" s="6">
        <v>0.5</v>
      </c>
      <c r="E169" s="6">
        <v>2</v>
      </c>
      <c r="F169" s="6"/>
      <c r="G169" s="6">
        <v>3</v>
      </c>
    </row>
    <row r="170" spans="1:7">
      <c r="A170" s="6" t="s">
        <v>53</v>
      </c>
      <c r="B170" s="6" t="s">
        <v>90</v>
      </c>
      <c r="C170" s="6">
        <v>400</v>
      </c>
      <c r="D170" s="6">
        <v>0.9</v>
      </c>
      <c r="E170" s="6">
        <v>4</v>
      </c>
      <c r="F170" s="6"/>
      <c r="G170" s="6">
        <v>3</v>
      </c>
    </row>
    <row r="171" spans="1:7">
      <c r="B171" s="6" t="s">
        <v>91</v>
      </c>
      <c r="C171" s="6">
        <v>750</v>
      </c>
      <c r="D171" s="6">
        <v>1.3</v>
      </c>
      <c r="E171" s="6">
        <v>5</v>
      </c>
      <c r="F171" s="6"/>
      <c r="G171" s="6">
        <v>3</v>
      </c>
    </row>
    <row r="172" spans="1:7">
      <c r="B172" s="6" t="s">
        <v>92</v>
      </c>
      <c r="C172" s="6">
        <v>1500</v>
      </c>
      <c r="D172" s="6">
        <v>2.2999999999999998</v>
      </c>
      <c r="E172" s="6">
        <v>7</v>
      </c>
      <c r="F172" s="6"/>
      <c r="G172" s="6">
        <v>3</v>
      </c>
    </row>
    <row r="173" spans="1:7">
      <c r="B173" s="6" t="s">
        <v>93</v>
      </c>
      <c r="C173" s="6">
        <v>2500</v>
      </c>
      <c r="D173" s="6">
        <v>3.8</v>
      </c>
      <c r="E173" s="6">
        <v>9</v>
      </c>
      <c r="F173" s="6"/>
      <c r="G173" s="6">
        <v>3</v>
      </c>
    </row>
    <row r="174" spans="1:7">
      <c r="A174" s="7" t="s">
        <v>98</v>
      </c>
      <c r="B174" s="6" t="s">
        <v>99</v>
      </c>
      <c r="C174" s="6">
        <v>200</v>
      </c>
      <c r="D174" s="6">
        <v>0.5</v>
      </c>
      <c r="E174" s="6">
        <v>2</v>
      </c>
      <c r="F174" s="6"/>
      <c r="G174" s="6">
        <v>3</v>
      </c>
    </row>
    <row r="175" spans="1:7">
      <c r="A175" s="6" t="s">
        <v>53</v>
      </c>
      <c r="B175" s="6" t="s">
        <v>100</v>
      </c>
      <c r="C175" s="6">
        <v>400</v>
      </c>
      <c r="D175" s="6">
        <v>0.9</v>
      </c>
      <c r="E175" s="6">
        <v>4</v>
      </c>
      <c r="F175" s="6"/>
      <c r="G175" s="6">
        <v>3</v>
      </c>
    </row>
    <row r="176" spans="1:7">
      <c r="B176" s="6" t="s">
        <v>101</v>
      </c>
      <c r="C176" s="6">
        <v>750</v>
      </c>
      <c r="D176" s="6">
        <v>1.3</v>
      </c>
      <c r="E176" s="6">
        <v>5</v>
      </c>
      <c r="F176" s="6"/>
      <c r="G176" s="6">
        <v>3</v>
      </c>
    </row>
    <row r="177" spans="1:7">
      <c r="B177" s="6" t="s">
        <v>102</v>
      </c>
      <c r="C177" s="6">
        <v>1500</v>
      </c>
      <c r="D177" s="6">
        <v>2.2999999999999998</v>
      </c>
      <c r="E177" s="6">
        <v>7</v>
      </c>
      <c r="F177" s="6"/>
      <c r="G177" s="6">
        <v>3</v>
      </c>
    </row>
    <row r="178" spans="1:7">
      <c r="B178" s="6" t="s">
        <v>103</v>
      </c>
      <c r="C178" s="6">
        <v>2500</v>
      </c>
      <c r="D178" s="6">
        <v>3.8</v>
      </c>
      <c r="E178" s="6">
        <v>9</v>
      </c>
      <c r="F178" s="6"/>
      <c r="G178" s="6">
        <v>3</v>
      </c>
    </row>
    <row r="179" spans="1:7">
      <c r="A179" t="s">
        <v>110</v>
      </c>
      <c r="B179" s="6" t="s">
        <v>112</v>
      </c>
      <c r="C179" s="6">
        <v>30</v>
      </c>
      <c r="D179" s="6">
        <v>0.2</v>
      </c>
      <c r="E179" s="6">
        <v>3</v>
      </c>
      <c r="F179" s="6"/>
      <c r="G179" s="6">
        <v>1</v>
      </c>
    </row>
    <row r="180" spans="1:7">
      <c r="A180" t="s">
        <v>111</v>
      </c>
      <c r="B180" s="6" t="s">
        <v>113</v>
      </c>
      <c r="C180" s="6">
        <v>60</v>
      </c>
      <c r="D180" s="6">
        <v>0.34</v>
      </c>
      <c r="E180" s="6">
        <v>3</v>
      </c>
      <c r="F180" s="6"/>
      <c r="G180" s="6">
        <v>1</v>
      </c>
    </row>
    <row r="181" spans="1:7">
      <c r="B181" s="6" t="s">
        <v>114</v>
      </c>
      <c r="C181" s="6">
        <v>120</v>
      </c>
      <c r="D181" s="6">
        <v>0.53</v>
      </c>
      <c r="E181" s="6">
        <v>5</v>
      </c>
      <c r="F181" s="6"/>
      <c r="G181" s="6">
        <v>1</v>
      </c>
    </row>
    <row r="182" spans="1:7">
      <c r="B182" s="6" t="s">
        <v>115</v>
      </c>
      <c r="C182" s="6">
        <v>200</v>
      </c>
      <c r="D182" s="6">
        <v>0.75</v>
      </c>
      <c r="E182" s="6">
        <v>5</v>
      </c>
      <c r="F182" s="6"/>
      <c r="G182" s="6">
        <v>1</v>
      </c>
    </row>
  </sheetData>
  <mergeCells count="35">
    <mergeCell ref="F10:F11"/>
    <mergeCell ref="I10:I11"/>
    <mergeCell ref="S10:S11"/>
    <mergeCell ref="C115:G115"/>
    <mergeCell ref="B149:D149"/>
    <mergeCell ref="D2:J2"/>
    <mergeCell ref="H10:H11"/>
    <mergeCell ref="J10:J11"/>
    <mergeCell ref="B6:D6"/>
    <mergeCell ref="B4:J4"/>
    <mergeCell ref="B102:J102"/>
    <mergeCell ref="C10:C11"/>
    <mergeCell ref="B10:B11"/>
    <mergeCell ref="D10:D11"/>
    <mergeCell ref="H104:I104"/>
    <mergeCell ref="C90:G90"/>
    <mergeCell ref="H7:I7"/>
    <mergeCell ref="C86:G86"/>
    <mergeCell ref="C88:G88"/>
    <mergeCell ref="C116:G116"/>
    <mergeCell ref="L4:N4"/>
    <mergeCell ref="B106:D106"/>
    <mergeCell ref="B130:D130"/>
    <mergeCell ref="C132:G132"/>
    <mergeCell ref="E10:E11"/>
    <mergeCell ref="G10:G11"/>
    <mergeCell ref="C91:G91"/>
    <mergeCell ref="B84:D84"/>
    <mergeCell ref="B81:J81"/>
    <mergeCell ref="C87:G87"/>
    <mergeCell ref="C89:G89"/>
    <mergeCell ref="C92:G92"/>
    <mergeCell ref="C95:G95"/>
    <mergeCell ref="C93:G93"/>
    <mergeCell ref="C94:G94"/>
  </mergeCells>
  <phoneticPr fontId="1" type="noConversion"/>
  <pageMargins left="0.7" right="0.7" top="0.75" bottom="0.75" header="0.3" footer="0.3"/>
  <pageSetup paperSize="9" scale="3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S19"/>
  <sheetViews>
    <sheetView workbookViewId="0">
      <selection activeCell="M24" sqref="L24:M24"/>
    </sheetView>
  </sheetViews>
  <sheetFormatPr defaultRowHeight="16.5"/>
  <cols>
    <col min="2" max="2" width="5" customWidth="1"/>
    <col min="3" max="3" width="5.5" bestFit="1" customWidth="1"/>
    <col min="4" max="4" width="11.625" bestFit="1" customWidth="1"/>
    <col min="5" max="5" width="3.375" bestFit="1" customWidth="1"/>
    <col min="6" max="6" width="4.5" bestFit="1" customWidth="1"/>
    <col min="7" max="7" width="9" bestFit="1" customWidth="1"/>
  </cols>
  <sheetData>
    <row r="3" spans="2:19" s="1" customFormat="1" ht="33">
      <c r="B3" s="1" t="s">
        <v>0</v>
      </c>
      <c r="C3" s="1" t="s">
        <v>1</v>
      </c>
      <c r="D3" s="3" t="s">
        <v>11</v>
      </c>
      <c r="E3" s="1" t="s">
        <v>10</v>
      </c>
      <c r="F3" s="1" t="s">
        <v>2</v>
      </c>
      <c r="G3" s="3" t="s">
        <v>12</v>
      </c>
      <c r="H3" s="1">
        <v>0.85</v>
      </c>
      <c r="Q3" s="1" t="s">
        <v>14</v>
      </c>
    </row>
    <row r="4" spans="2:19">
      <c r="B4" s="1" t="s">
        <v>3</v>
      </c>
      <c r="C4" s="1">
        <v>1000</v>
      </c>
      <c r="D4" s="1">
        <v>2300</v>
      </c>
      <c r="E4" s="1">
        <v>3</v>
      </c>
      <c r="F4" s="4">
        <f>IF(E4=3,D4/220/1.732,D4/220)</f>
        <v>6.0361116943103088</v>
      </c>
      <c r="G4" s="4">
        <f>F4*$H$3</f>
        <v>5.130694940163762</v>
      </c>
      <c r="I4">
        <v>735</v>
      </c>
      <c r="J4">
        <v>470</v>
      </c>
      <c r="K4">
        <v>1000</v>
      </c>
      <c r="L4">
        <v>1120</v>
      </c>
      <c r="M4">
        <v>1000</v>
      </c>
      <c r="N4">
        <v>1000</v>
      </c>
      <c r="O4">
        <v>1700</v>
      </c>
      <c r="Q4">
        <v>500</v>
      </c>
      <c r="R4">
        <f>SUM(I4:Q4)</f>
        <v>7525</v>
      </c>
      <c r="S4">
        <v>7.5</v>
      </c>
    </row>
    <row r="5" spans="2:19">
      <c r="B5" s="1" t="s">
        <v>4</v>
      </c>
      <c r="C5" s="1">
        <v>200</v>
      </c>
      <c r="D5" s="1">
        <v>750</v>
      </c>
      <c r="E5" s="1">
        <v>1</v>
      </c>
      <c r="F5" s="4">
        <f t="shared" ref="F5:F10" si="0">IF(E5=3,D5/220/1.732,D5/220)</f>
        <v>3.4090909090909092</v>
      </c>
      <c r="G5" s="4">
        <f t="shared" ref="G5:G10" si="1">F5*$H$3</f>
        <v>2.8977272727272729</v>
      </c>
      <c r="I5">
        <v>290</v>
      </c>
      <c r="J5">
        <v>470</v>
      </c>
      <c r="K5">
        <v>1000</v>
      </c>
      <c r="L5">
        <v>1120</v>
      </c>
      <c r="M5">
        <v>1000</v>
      </c>
      <c r="N5">
        <v>1000</v>
      </c>
      <c r="O5">
        <v>1600</v>
      </c>
      <c r="P5">
        <v>1000</v>
      </c>
      <c r="Q5">
        <v>500</v>
      </c>
      <c r="R5">
        <f t="shared" ref="R5:R10" si="2">SUM(I5:Q5)</f>
        <v>7980</v>
      </c>
      <c r="S5">
        <v>8</v>
      </c>
    </row>
    <row r="6" spans="2:19">
      <c r="B6" s="1" t="s">
        <v>5</v>
      </c>
      <c r="C6" s="1">
        <v>400</v>
      </c>
      <c r="D6" s="1">
        <v>1200</v>
      </c>
      <c r="E6" s="1">
        <v>1</v>
      </c>
      <c r="F6" s="4">
        <f t="shared" si="0"/>
        <v>5.4545454545454541</v>
      </c>
      <c r="G6" s="4">
        <f t="shared" si="1"/>
        <v>4.6363636363636358</v>
      </c>
      <c r="I6">
        <v>610</v>
      </c>
      <c r="J6">
        <v>470</v>
      </c>
      <c r="K6">
        <v>1000</v>
      </c>
      <c r="L6">
        <v>1120</v>
      </c>
      <c r="M6">
        <v>1300</v>
      </c>
      <c r="Q6">
        <v>500</v>
      </c>
      <c r="R6">
        <f t="shared" si="2"/>
        <v>5000</v>
      </c>
      <c r="S6">
        <v>5</v>
      </c>
    </row>
    <row r="7" spans="2:19">
      <c r="B7" s="1" t="s">
        <v>6</v>
      </c>
      <c r="C7" s="1">
        <v>400</v>
      </c>
      <c r="D7" s="1">
        <v>1200</v>
      </c>
      <c r="E7" s="1">
        <v>1</v>
      </c>
      <c r="F7" s="4">
        <f t="shared" si="0"/>
        <v>5.4545454545454541</v>
      </c>
      <c r="G7" s="4">
        <f t="shared" si="1"/>
        <v>4.6363636363636358</v>
      </c>
      <c r="I7">
        <v>490</v>
      </c>
      <c r="J7">
        <v>470</v>
      </c>
      <c r="K7">
        <v>1000</v>
      </c>
      <c r="L7">
        <v>1120</v>
      </c>
      <c r="M7">
        <v>2200</v>
      </c>
      <c r="Q7">
        <v>500</v>
      </c>
      <c r="R7">
        <f t="shared" si="2"/>
        <v>5780</v>
      </c>
      <c r="S7">
        <v>6</v>
      </c>
    </row>
    <row r="8" spans="2:19">
      <c r="B8" s="1" t="s">
        <v>7</v>
      </c>
      <c r="C8" s="1">
        <v>200</v>
      </c>
      <c r="D8" s="1">
        <v>750</v>
      </c>
      <c r="E8" s="1">
        <v>1</v>
      </c>
      <c r="F8" s="4">
        <f t="shared" si="0"/>
        <v>3.4090909090909092</v>
      </c>
      <c r="G8" s="4">
        <f t="shared" si="1"/>
        <v>2.8977272727272729</v>
      </c>
      <c r="I8">
        <v>390</v>
      </c>
      <c r="J8">
        <v>470</v>
      </c>
      <c r="K8">
        <v>1000</v>
      </c>
      <c r="L8">
        <v>1120</v>
      </c>
      <c r="M8">
        <v>1000</v>
      </c>
      <c r="N8">
        <v>1000</v>
      </c>
      <c r="O8">
        <v>1600</v>
      </c>
      <c r="P8">
        <v>300</v>
      </c>
      <c r="Q8">
        <v>500</v>
      </c>
      <c r="R8">
        <f t="shared" si="2"/>
        <v>7380</v>
      </c>
      <c r="S8">
        <v>7.5</v>
      </c>
    </row>
    <row r="9" spans="2:19">
      <c r="B9" s="1" t="s">
        <v>8</v>
      </c>
      <c r="C9" s="1">
        <v>400</v>
      </c>
      <c r="D9" s="1">
        <v>1200</v>
      </c>
      <c r="E9" s="1">
        <v>1</v>
      </c>
      <c r="F9" s="4">
        <f t="shared" si="0"/>
        <v>5.4545454545454541</v>
      </c>
      <c r="G9" s="4">
        <f t="shared" si="1"/>
        <v>4.6363636363636358</v>
      </c>
      <c r="I9">
        <v>180</v>
      </c>
      <c r="J9">
        <v>470</v>
      </c>
      <c r="K9">
        <v>1000</v>
      </c>
      <c r="L9">
        <v>810</v>
      </c>
      <c r="M9">
        <v>1000</v>
      </c>
      <c r="N9">
        <v>1100</v>
      </c>
      <c r="Q9">
        <v>500</v>
      </c>
      <c r="R9">
        <f t="shared" si="2"/>
        <v>5060</v>
      </c>
      <c r="S9">
        <v>5</v>
      </c>
    </row>
    <row r="10" spans="2:19">
      <c r="B10" s="1" t="s">
        <v>9</v>
      </c>
      <c r="C10" s="1">
        <v>400</v>
      </c>
      <c r="D10" s="1">
        <v>1200</v>
      </c>
      <c r="E10" s="1">
        <v>1</v>
      </c>
      <c r="F10" s="4">
        <f t="shared" si="0"/>
        <v>5.4545454545454541</v>
      </c>
      <c r="G10" s="4">
        <f t="shared" si="1"/>
        <v>4.6363636363636358</v>
      </c>
      <c r="I10">
        <v>80</v>
      </c>
      <c r="J10">
        <v>470</v>
      </c>
      <c r="K10">
        <v>1000</v>
      </c>
      <c r="L10">
        <v>1600</v>
      </c>
      <c r="Q10">
        <v>500</v>
      </c>
      <c r="R10">
        <f t="shared" si="2"/>
        <v>3650</v>
      </c>
      <c r="S10">
        <v>3.5</v>
      </c>
    </row>
    <row r="14" spans="2:19">
      <c r="G14" t="s">
        <v>13</v>
      </c>
    </row>
    <row r="15" spans="2:19">
      <c r="G15" s="2">
        <f>SUM(G4:G13)</f>
        <v>29.471604031072854</v>
      </c>
    </row>
    <row r="16" spans="2:19">
      <c r="J16" t="s">
        <v>18</v>
      </c>
      <c r="K16" t="s">
        <v>19</v>
      </c>
      <c r="L16" t="s">
        <v>20</v>
      </c>
      <c r="M16" t="s">
        <v>21</v>
      </c>
      <c r="N16" t="s">
        <v>22</v>
      </c>
      <c r="O16" t="s">
        <v>23</v>
      </c>
      <c r="P16" t="s">
        <v>24</v>
      </c>
    </row>
    <row r="17" spans="8:16">
      <c r="H17">
        <f>SUM(J17:W17)</f>
        <v>20.100000000000001</v>
      </c>
      <c r="I17" t="s">
        <v>15</v>
      </c>
      <c r="J17">
        <v>5.0999999999999996</v>
      </c>
      <c r="K17">
        <v>4.5999999999999996</v>
      </c>
      <c r="M17">
        <v>2.9</v>
      </c>
      <c r="N17">
        <v>2.9</v>
      </c>
      <c r="P17">
        <v>4.5999999999999996</v>
      </c>
    </row>
    <row r="18" spans="8:16">
      <c r="H18">
        <f t="shared" ref="H18:H19" si="3">SUM(J18:W18)</f>
        <v>21.799999999999997</v>
      </c>
      <c r="I18" t="s">
        <v>16</v>
      </c>
      <c r="J18">
        <v>5.0999999999999996</v>
      </c>
      <c r="K18">
        <v>4.5999999999999996</v>
      </c>
      <c r="L18">
        <v>4.5999999999999996</v>
      </c>
      <c r="N18">
        <v>2.9</v>
      </c>
      <c r="O18">
        <v>4.5999999999999996</v>
      </c>
    </row>
    <row r="19" spans="8:16">
      <c r="H19">
        <f t="shared" si="3"/>
        <v>21.799999999999997</v>
      </c>
      <c r="I19" t="s">
        <v>17</v>
      </c>
      <c r="J19">
        <v>5.0999999999999996</v>
      </c>
      <c r="L19">
        <v>4.5999999999999996</v>
      </c>
      <c r="M19">
        <v>2.9</v>
      </c>
      <c r="O19">
        <v>4.5999999999999996</v>
      </c>
      <c r="P19">
        <v>4.5999999999999996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장비 용량 계산</vt:lpstr>
      <vt:lpstr>Sheet1</vt:lpstr>
      <vt:lpstr>Sheet2</vt:lpstr>
      <vt:lpstr>Sheet3</vt:lpstr>
      <vt:lpstr>'장비 용량 계산'!Print_Area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WTA</dc:creator>
  <cp:lastModifiedBy>건승 지</cp:lastModifiedBy>
  <cp:lastPrinted>2015-01-12T08:44:13Z</cp:lastPrinted>
  <dcterms:created xsi:type="dcterms:W3CDTF">2013-01-15T00:29:03Z</dcterms:created>
  <dcterms:modified xsi:type="dcterms:W3CDTF">2026-04-02T09:11:18Z</dcterms:modified>
</cp:coreProperties>
</file>