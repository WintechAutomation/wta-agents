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판넬별 차단기 선정표" sheetId="1" state="visible" r:id="rId1"/>
    <sheet xmlns:r="http://schemas.openxmlformats.org/officeDocument/2006/relationships" name="파나소닉A6규격" sheetId="2" state="visible" r:id="rId2"/>
    <sheet xmlns:r="http://schemas.openxmlformats.org/officeDocument/2006/relationships" name="파스텍EziServo규격" sheetId="3" state="visible" r:id="rId3"/>
    <sheet xmlns:r="http://schemas.openxmlformats.org/officeDocument/2006/relationships" name="차단기 규격 참조표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1">
    <font>
      <name val="Calibri"/>
      <family val="2"/>
      <color theme="1"/>
      <sz val="11"/>
      <scheme val="minor"/>
    </font>
    <font>
      <name val="맑은 고딕"/>
      <b val="1"/>
      <color rgb="001F3864"/>
      <sz val="14"/>
    </font>
    <font>
      <name val="맑은 고딕"/>
      <b val="1"/>
      <sz val="9"/>
    </font>
    <font>
      <name val="맑은 고딕"/>
      <sz val="9"/>
    </font>
    <font>
      <name val="맑은 고딕"/>
      <b val="1"/>
      <color rgb="008B0000"/>
      <sz val="10"/>
    </font>
    <font>
      <name val="맑은 고딕"/>
      <i val="1"/>
      <color rgb="00444444"/>
      <sz val="8"/>
    </font>
    <font>
      <name val="맑은 고딕"/>
      <b val="1"/>
      <color rgb="00FFFFFF"/>
      <sz val="10"/>
    </font>
    <font>
      <name val="맑은 고딕"/>
      <b val="1"/>
      <color rgb="00FFFFFF"/>
      <sz val="9"/>
    </font>
    <font>
      <name val="맑은 고딕"/>
      <b val="1"/>
      <color rgb="00000000"/>
      <sz val="9"/>
    </font>
    <font>
      <name val="맑은 고딕"/>
      <color rgb="00888888"/>
      <sz val="8"/>
    </font>
    <font>
      <name val="맑은 고딕"/>
      <color rgb="00555555"/>
      <sz val="8"/>
    </font>
    <font>
      <name val="맑은 고딕"/>
      <b val="1"/>
      <color rgb="001F3864"/>
      <sz val="9"/>
    </font>
    <font>
      <name val="맑은 고딕"/>
      <color rgb="00000000"/>
      <sz val="9"/>
    </font>
    <font>
      <name val="맑은 고딕"/>
      <color rgb="001F3864"/>
      <sz val="9"/>
    </font>
    <font>
      <name val="맑은 고딕"/>
      <color rgb="00375623"/>
      <sz val="9"/>
    </font>
    <font>
      <name val="맑은 고딕"/>
      <b val="1"/>
      <color rgb="001F3864"/>
      <sz val="10"/>
    </font>
    <font>
      <name val="맑은 고딕"/>
      <color rgb="008B0000"/>
      <sz val="8"/>
    </font>
    <font>
      <name val="맑은 고딕"/>
      <b val="1"/>
      <color rgb="00FFFFFF"/>
      <sz val="8"/>
    </font>
    <font>
      <name val="맑은 고딕"/>
      <b val="1"/>
      <color rgb="00000000"/>
      <sz val="10"/>
    </font>
    <font>
      <name val="맑은 고딕"/>
      <b val="1"/>
      <color rgb="001F3864"/>
      <sz val="11"/>
    </font>
    <font>
      <name val="맑은 고딕"/>
      <color rgb="00000000"/>
      <sz val="8"/>
    </font>
  </fonts>
  <fills count="24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FFF2CC"/>
      </patternFill>
    </fill>
    <fill>
      <patternFill patternType="solid">
        <fgColor rgb="00F0F0F0"/>
      </patternFill>
    </fill>
    <fill>
      <patternFill patternType="solid">
        <fgColor rgb="001F3864"/>
      </patternFill>
    </fill>
    <fill>
      <patternFill patternType="solid">
        <fgColor rgb="004472C4"/>
      </patternFill>
    </fill>
    <fill>
      <patternFill patternType="solid">
        <fgColor rgb="00EBF3FB"/>
      </patternFill>
    </fill>
    <fill>
      <patternFill patternType="solid">
        <fgColor rgb="00FEF4E8"/>
      </patternFill>
    </fill>
    <fill>
      <patternFill patternType="solid">
        <fgColor rgb="00EDF7E3"/>
      </patternFill>
    </fill>
    <fill>
      <patternFill patternType="solid">
        <fgColor rgb="00F3EBF9"/>
      </patternFill>
    </fill>
    <fill>
      <patternFill patternType="solid">
        <fgColor rgb="00833C00"/>
      </patternFill>
    </fill>
    <fill>
      <patternFill patternType="solid">
        <fgColor rgb="00C55A11"/>
      </patternFill>
    </fill>
    <fill>
      <patternFill patternType="solid">
        <fgColor rgb="002F5496"/>
      </patternFill>
    </fill>
    <fill>
      <patternFill patternType="solid">
        <fgColor rgb="0000B0F0"/>
      </patternFill>
    </fill>
    <fill>
      <patternFill patternType="solid">
        <fgColor rgb="00E2EFDA"/>
      </patternFill>
    </fill>
    <fill>
      <patternFill patternType="solid">
        <fgColor rgb="00FFFF99"/>
      </patternFill>
    </fill>
    <fill>
      <patternFill patternType="solid">
        <fgColor rgb="00ED7D31"/>
      </patternFill>
    </fill>
    <fill>
      <patternFill patternType="solid">
        <fgColor rgb="00DEEAF1"/>
      </patternFill>
    </fill>
    <fill>
      <patternFill patternType="solid">
        <fgColor rgb="0070AD47"/>
      </patternFill>
    </fill>
    <fill>
      <patternFill patternType="solid">
        <fgColor rgb="007030A0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3" borderId="0" pivotButton="0" quotePrefix="0" xfId="0"/>
    <xf numFmtId="0" fontId="5" fillId="4" borderId="0" applyAlignment="1" pivotButton="0" quotePrefix="0" xfId="0">
      <alignment horizontal="left" vertical="center" wrapText="1"/>
    </xf>
    <xf numFmtId="0" fontId="6" fillId="5" borderId="0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 wrapText="1"/>
    </xf>
    <xf numFmtId="0" fontId="12" fillId="7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left" vertical="center" wrapText="1"/>
    </xf>
    <xf numFmtId="0" fontId="12" fillId="8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left" vertical="center" wrapText="1"/>
    </xf>
    <xf numFmtId="0" fontId="12" fillId="9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left" vertical="center" wrapText="1"/>
    </xf>
    <xf numFmtId="0" fontId="12" fillId="10" borderId="1" applyAlignment="1" pivotButton="0" quotePrefix="0" xfId="0">
      <alignment horizontal="center" vertical="center" wrapText="1"/>
    </xf>
    <xf numFmtId="0" fontId="7" fillId="11" borderId="0" applyAlignment="1" pivotButton="0" quotePrefix="0" xfId="0">
      <alignment horizontal="center" vertical="center" wrapText="1"/>
    </xf>
    <xf numFmtId="0" fontId="7" fillId="1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10" fillId="4" borderId="0" pivotButton="0" quotePrefix="0" xfId="0"/>
    <xf numFmtId="0" fontId="7" fillId="13" borderId="1" applyAlignment="1" pivotButton="0" quotePrefix="0" xfId="0">
      <alignment horizontal="center" vertical="center" wrapText="1"/>
    </xf>
    <xf numFmtId="0" fontId="7" fillId="13" borderId="1" applyAlignment="1" pivotButton="0" quotePrefix="0" xfId="0">
      <alignment horizontal="left" vertical="center" wrapText="1"/>
    </xf>
    <xf numFmtId="0" fontId="6" fillId="14" borderId="1" applyAlignment="1" pivotButton="0" quotePrefix="0" xfId="0">
      <alignment horizontal="left" vertical="center" wrapText="1"/>
    </xf>
    <xf numFmtId="0" fontId="11" fillId="7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left" vertical="center" wrapText="1"/>
    </xf>
    <xf numFmtId="0" fontId="13" fillId="7" borderId="1" applyAlignment="1" pivotButton="0" quotePrefix="0" xfId="0">
      <alignment horizontal="center" vertical="center" wrapText="1"/>
    </xf>
    <xf numFmtId="164" fontId="13" fillId="7" borderId="1" applyAlignment="1" pivotButton="0" quotePrefix="0" xfId="0">
      <alignment horizontal="center" vertical="center" wrapText="1"/>
    </xf>
    <xf numFmtId="164" fontId="14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0" fillId="7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0" fillId="15" borderId="1" pivotButton="0" quotePrefix="0" xfId="0"/>
    <xf numFmtId="2" fontId="8" fillId="15" borderId="1" applyAlignment="1" pivotButton="0" quotePrefix="0" xfId="0">
      <alignment horizontal="center" vertical="center" wrapText="1"/>
    </xf>
    <xf numFmtId="0" fontId="15" fillId="16" borderId="1" applyAlignment="1" pivotButton="0" quotePrefix="0" xfId="0">
      <alignment horizontal="center" vertical="center" wrapText="1"/>
    </xf>
    <xf numFmtId="0" fontId="8" fillId="16" borderId="1" applyAlignment="1" pivotButton="0" quotePrefix="0" xfId="0">
      <alignment horizontal="center" vertical="center" wrapText="1"/>
    </xf>
    <xf numFmtId="0" fontId="16" fillId="16" borderId="1" applyAlignment="1" pivotButton="0" quotePrefix="0" xfId="0">
      <alignment horizontal="left" vertical="center" wrapText="1"/>
    </xf>
    <xf numFmtId="0" fontId="17" fillId="6" borderId="1" applyAlignment="1" pivotButton="0" quotePrefix="0" xfId="0">
      <alignment horizontal="center" vertical="center" wrapText="1"/>
    </xf>
    <xf numFmtId="0" fontId="6" fillId="17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 wrapText="1"/>
    </xf>
    <xf numFmtId="0" fontId="12" fillId="8" borderId="1" applyAlignment="1" pivotButton="0" quotePrefix="0" xfId="0">
      <alignment horizontal="left" vertical="center" wrapText="1"/>
    </xf>
    <xf numFmtId="0" fontId="13" fillId="8" borderId="1" applyAlignment="1" pivotButton="0" quotePrefix="0" xfId="0">
      <alignment horizontal="center" vertical="center" wrapText="1"/>
    </xf>
    <xf numFmtId="164" fontId="13" fillId="8" borderId="1" applyAlignment="1" pivotButton="0" quotePrefix="0" xfId="0">
      <alignment horizontal="center" vertical="center" wrapText="1"/>
    </xf>
    <xf numFmtId="164" fontId="14" fillId="8" borderId="1" applyAlignment="1" pivotButton="0" quotePrefix="0" xfId="0">
      <alignment horizontal="center" vertical="center" wrapText="1"/>
    </xf>
    <xf numFmtId="0" fontId="0" fillId="8" borderId="1" pivotButton="0" quotePrefix="0" xfId="0"/>
    <xf numFmtId="0" fontId="10" fillId="8" borderId="1" applyAlignment="1" pivotButton="0" quotePrefix="0" xfId="0">
      <alignment horizontal="left" vertical="center" wrapText="1"/>
    </xf>
    <xf numFmtId="0" fontId="11" fillId="18" borderId="1" applyAlignment="1" pivotButton="0" quotePrefix="0" xfId="0">
      <alignment horizontal="center" vertical="center" wrapText="1"/>
    </xf>
    <xf numFmtId="0" fontId="12" fillId="18" borderId="1" applyAlignment="1" pivotButton="0" quotePrefix="0" xfId="0">
      <alignment horizontal="left" vertical="center" wrapText="1"/>
    </xf>
    <xf numFmtId="0" fontId="13" fillId="18" borderId="1" applyAlignment="1" pivotButton="0" quotePrefix="0" xfId="0">
      <alignment horizontal="center" vertical="center" wrapText="1"/>
    </xf>
    <xf numFmtId="164" fontId="13" fillId="18" borderId="1" applyAlignment="1" pivotButton="0" quotePrefix="0" xfId="0">
      <alignment horizontal="center" vertical="center" wrapText="1"/>
    </xf>
    <xf numFmtId="0" fontId="12" fillId="18" borderId="1" applyAlignment="1" pivotButton="0" quotePrefix="0" xfId="0">
      <alignment horizontal="center" vertical="center" wrapText="1"/>
    </xf>
    <xf numFmtId="164" fontId="14" fillId="18" borderId="1" applyAlignment="1" pivotButton="0" quotePrefix="0" xfId="0">
      <alignment horizontal="center" vertical="center" wrapText="1"/>
    </xf>
    <xf numFmtId="0" fontId="0" fillId="18" borderId="1" pivotButton="0" quotePrefix="0" xfId="0"/>
    <xf numFmtId="0" fontId="10" fillId="18" borderId="1" applyAlignment="1" pivotButton="0" quotePrefix="0" xfId="0">
      <alignment horizontal="left" vertical="center" wrapText="1"/>
    </xf>
    <xf numFmtId="2" fontId="8" fillId="8" borderId="1" applyAlignment="1" pivotButton="0" quotePrefix="0" xfId="0">
      <alignment horizontal="center" vertical="center" wrapText="1"/>
    </xf>
    <xf numFmtId="0" fontId="6" fillId="19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center" vertical="center" wrapText="1"/>
    </xf>
    <xf numFmtId="0" fontId="12" fillId="9" borderId="1" applyAlignment="1" pivotButton="0" quotePrefix="0" xfId="0">
      <alignment horizontal="left" vertical="center" wrapText="1"/>
    </xf>
    <xf numFmtId="164" fontId="12" fillId="9" borderId="1" applyAlignment="1" pivotButton="0" quotePrefix="0" xfId="0">
      <alignment horizontal="center" vertical="center" wrapText="1"/>
    </xf>
    <xf numFmtId="164" fontId="14" fillId="9" borderId="1" applyAlignment="1" pivotButton="0" quotePrefix="0" xfId="0">
      <alignment horizontal="center" vertical="center" wrapText="1"/>
    </xf>
    <xf numFmtId="0" fontId="0" fillId="9" borderId="1" pivotButton="0" quotePrefix="0" xfId="0"/>
    <xf numFmtId="0" fontId="10" fillId="9" borderId="1" applyAlignment="1" pivotButton="0" quotePrefix="0" xfId="0">
      <alignment horizontal="left" vertical="center" wrapText="1"/>
    </xf>
    <xf numFmtId="0" fontId="7" fillId="19" borderId="1" applyAlignment="1" pivotButton="0" quotePrefix="0" xfId="0">
      <alignment horizontal="left" vertical="center" wrapText="1"/>
    </xf>
    <xf numFmtId="0" fontId="10" fillId="15" borderId="1" applyAlignment="1" pivotButton="0" quotePrefix="0" xfId="0">
      <alignment horizontal="left" vertical="center" wrapText="1"/>
    </xf>
    <xf numFmtId="0" fontId="6" fillId="20" borderId="1" applyAlignment="1" pivotButton="0" quotePrefix="0" xfId="0">
      <alignment horizontal="left" vertical="center" wrapText="1"/>
    </xf>
    <xf numFmtId="0" fontId="11" fillId="10" borderId="1" applyAlignment="1" pivotButton="0" quotePrefix="0" xfId="0">
      <alignment horizontal="center" vertical="center" wrapText="1"/>
    </xf>
    <xf numFmtId="0" fontId="12" fillId="10" borderId="1" applyAlignment="1" pivotButton="0" quotePrefix="0" xfId="0">
      <alignment horizontal="left" vertical="center" wrapText="1"/>
    </xf>
    <xf numFmtId="164" fontId="12" fillId="10" borderId="1" applyAlignment="1" pivotButton="0" quotePrefix="0" xfId="0">
      <alignment horizontal="center" vertical="center" wrapText="1"/>
    </xf>
    <xf numFmtId="164" fontId="14" fillId="10" borderId="1" applyAlignment="1" pivotButton="0" quotePrefix="0" xfId="0">
      <alignment horizontal="center" vertical="center" wrapText="1"/>
    </xf>
    <xf numFmtId="0" fontId="0" fillId="10" borderId="1" pivotButton="0" quotePrefix="0" xfId="0"/>
    <xf numFmtId="0" fontId="10" fillId="10" borderId="1" applyAlignment="1" pivotButton="0" quotePrefix="0" xfId="0">
      <alignment horizontal="left" vertical="center" wrapText="1"/>
    </xf>
    <xf numFmtId="0" fontId="7" fillId="20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2" fontId="18" fillId="15" borderId="1" applyAlignment="1" pivotButton="0" quotePrefix="0" xfId="0">
      <alignment horizontal="center" vertical="center" wrapText="1"/>
    </xf>
    <xf numFmtId="0" fontId="19" fillId="21" borderId="0" applyAlignment="1" pivotButton="0" quotePrefix="0" xfId="0">
      <alignment horizontal="center" vertical="center" wrapText="1"/>
    </xf>
    <xf numFmtId="0" fontId="12" fillId="22" borderId="1" applyAlignment="1" pivotButton="0" quotePrefix="0" xfId="0">
      <alignment horizontal="center" vertical="center" wrapText="1"/>
    </xf>
    <xf numFmtId="0" fontId="12" fillId="22" borderId="1" applyAlignment="1" pivotButton="0" quotePrefix="0" xfId="0">
      <alignment horizontal="left" vertical="center" wrapText="1"/>
    </xf>
    <xf numFmtId="0" fontId="10" fillId="3" borderId="0" applyAlignment="1" pivotButton="0" quotePrefix="0" xfId="0">
      <alignment horizontal="left" vertical="center" wrapText="1"/>
    </xf>
    <xf numFmtId="0" fontId="15" fillId="21" borderId="0" applyAlignment="1" pivotButton="0" quotePrefix="0" xfId="0">
      <alignment horizontal="center" vertical="center" wrapText="1"/>
    </xf>
    <xf numFmtId="0" fontId="20" fillId="22" borderId="1" applyAlignment="1" pivotButton="0" quotePrefix="0" xfId="0">
      <alignment horizontal="center" vertical="center" wrapText="1"/>
    </xf>
    <xf numFmtId="0" fontId="20" fillId="22" borderId="1" applyAlignment="1" pivotButton="0" quotePrefix="0" xfId="0">
      <alignment horizontal="left" vertical="center" wrapText="1"/>
    </xf>
    <xf numFmtId="0" fontId="20" fillId="7" borderId="1" applyAlignment="1" pivotButton="0" quotePrefix="0" xfId="0">
      <alignment horizontal="center" vertical="center" wrapText="1"/>
    </xf>
    <xf numFmtId="0" fontId="20" fillId="7" borderId="1" applyAlignment="1" pivotButton="0" quotePrefix="0" xfId="0">
      <alignment horizontal="left" vertical="center" wrapText="1"/>
    </xf>
    <xf numFmtId="0" fontId="19" fillId="23" borderId="0" applyAlignment="1" pivotButton="0" quotePrefix="0" xfId="0">
      <alignment horizontal="center" vertical="center" wrapText="1"/>
    </xf>
    <xf numFmtId="0" fontId="19" fillId="0" borderId="0" applyAlignment="1" pivotButton="0" quotePrefix="0" xfId="0">
      <alignment horizontal="center" vertical="center" wrapText="1"/>
    </xf>
    <xf numFmtId="0" fontId="12" fillId="15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4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24" customWidth="1" min="3" max="3"/>
    <col width="9" customWidth="1" min="4" max="4"/>
    <col width="11" customWidth="1" min="5" max="5"/>
    <col width="6" customWidth="1" min="6" max="6"/>
    <col width="5" customWidth="1" min="7" max="7"/>
    <col width="9" customWidth="1" min="8" max="8"/>
    <col width="9" customWidth="1" min="9" max="9"/>
    <col width="11" customWidth="1" min="10" max="10"/>
    <col width="9" customWidth="1" min="11" max="11"/>
    <col width="9" customWidth="1" min="12" max="12"/>
    <col width="9" customWidth="1" min="13" max="13"/>
    <col width="9" customWidth="1" min="14" max="14"/>
    <col width="10" customWidth="1" min="15" max="15"/>
    <col width="14" customWidth="1" min="16" max="16"/>
    <col width="38" customWidth="1" min="17" max="17"/>
  </cols>
  <sheetData>
    <row r="1" ht="28" customHeight="1">
      <c r="A1" s="1" t="inlineStr">
        <is>
          <t>대구텍 검사기 F2 #1 — 판넬별 전류·용량 계산 및 차단기 선정표</t>
        </is>
      </c>
    </row>
    <row r="2" ht="18" customHeight="1">
      <c r="A2" s="2" t="inlineStr">
        <is>
          <t>전원:</t>
        </is>
      </c>
      <c r="B2" s="3" t="inlineStr">
        <is>
          <t>AC 220V / 3상</t>
        </is>
      </c>
      <c r="C2" s="2" t="inlineStr">
        <is>
          <t>역률(PF):</t>
        </is>
      </c>
      <c r="D2" s="4" t="n">
        <v>0.95</v>
      </c>
      <c r="E2" s="2" t="inlineStr">
        <is>
          <t>안전계수:</t>
        </is>
      </c>
      <c r="F2" s="4" t="n">
        <v>1.25</v>
      </c>
      <c r="G2" s="2" t="inlineStr">
        <is>
          <t>수용률:</t>
        </is>
      </c>
      <c r="H2" s="4" t="n">
        <v>0.7</v>
      </c>
      <c r="I2" s="2" t="inlineStr">
        <is>
          <t>작성일:</t>
        </is>
      </c>
      <c r="J2" s="3" t="inlineStr">
        <is>
          <t>2026-04-03</t>
        </is>
      </c>
      <c r="K2" s="5" t="inlineStr">
        <is>
          <t>▶ 역률(PF): kVA 환산에 반영  ▶ 안전계수×1.25: 각 판넬 소계의 권장차단기 산출  ▶ 수용률: J열 설계전류 = 정격전류(E열)×수용률</t>
        </is>
      </c>
    </row>
    <row r="3" ht="5" customHeight="1"/>
    <row r="4" ht="16" customHeight="1">
      <c r="A4" s="6" t="inlineStr">
        <is>
          <t>▶ 전체 부하 요약 (판넬별 소계 완성 후 자동계산)</t>
        </is>
      </c>
    </row>
    <row r="5" ht="16" customHeight="1">
      <c r="A5" s="7" t="inlineStr">
        <is>
          <t>구분</t>
        </is>
      </c>
      <c r="B5" s="7" t="inlineStr">
        <is>
          <t>총 정격전류 (A)</t>
        </is>
      </c>
      <c r="C5" s="7" t="inlineStr">
        <is>
          <t>×안전계수(1.25)</t>
        </is>
      </c>
      <c r="D5" s="7" t="inlineStr">
        <is>
          <t>권장 차단기 (A)</t>
        </is>
      </c>
      <c r="E5" s="7" t="inlineStr">
        <is>
          <t>총 부하 (kVA)</t>
        </is>
      </c>
      <c r="F5" s="7" t="inlineStr">
        <is>
          <t>비고</t>
        </is>
      </c>
    </row>
    <row r="6" ht="22" customHeight="1">
      <c r="A6" s="8" t="inlineStr">
        <is>
          <t>AC 3상 220V
파나소닉 A6 서보드라이버</t>
        </is>
      </c>
      <c r="B6" s="9">
        <f>E34+E54+E78+E106</f>
        <v/>
      </c>
      <c r="C6" s="9">
        <f>B6*$F$2</f>
        <v/>
      </c>
      <c r="D6" s="9" t="inlineStr">
        <is>
          <t>→ Sheet4 참조</t>
        </is>
      </c>
      <c r="E6" s="9">
        <f>B6*220*SQRT(3)/1000</f>
        <v/>
      </c>
      <c r="F6" s="9">
        <f>TEXT(B6,"0.00")&amp;"A × $F$2 = "&amp;TEXT(C6,"0.00")&amp;"A 이상 선정"</f>
        <v/>
      </c>
    </row>
    <row r="7" ht="22" customHeight="1">
      <c r="A7" s="10" t="inlineStr">
        <is>
          <t>AC 단상 220V
파스텍 EziServo/EziSpeed</t>
        </is>
      </c>
      <c r="B7" s="11">
        <f>E114</f>
        <v/>
      </c>
      <c r="C7" s="11">
        <f>B7*$F$2</f>
        <v/>
      </c>
      <c r="D7" s="11" t="inlineStr">
        <is>
          <t>→ Sheet4 참조</t>
        </is>
      </c>
      <c r="E7" s="11">
        <f>B7*220/1000</f>
        <v/>
      </c>
      <c r="F7" s="11">
        <f>TEXT(B7,"0.00")&amp;"A × $F$2 = "&amp;TEXT(C7,"0.00")&amp;"A 이상 선정"</f>
        <v/>
      </c>
    </row>
    <row r="8" ht="22" customHeight="1">
      <c r="A8" s="12" t="inlineStr">
        <is>
          <t>DC 24V
서보I/O·센서·솔레노이드 등</t>
        </is>
      </c>
      <c r="B8" s="13">
        <f>E131</f>
        <v/>
      </c>
      <c r="C8" s="13">
        <f>B8*$F$2</f>
        <v/>
      </c>
      <c r="D8" s="13" t="inlineStr">
        <is>
          <t>SMPS 별도</t>
        </is>
      </c>
      <c r="E8" s="13">
        <f>B8*24/1000</f>
        <v/>
      </c>
      <c r="F8" s="13" t="inlineStr">
        <is>
          <t>DC 전원장치 용량: 합계전류 × 1.25 이상</t>
        </is>
      </c>
    </row>
    <row r="9" ht="22" customHeight="1">
      <c r="A9" s="14" t="inlineStr">
        <is>
          <t>기타 부하
UPS·HMI·조명 등</t>
        </is>
      </c>
      <c r="B9" s="15">
        <f>E141</f>
        <v/>
      </c>
      <c r="C9" s="15">
        <f>B9*$F$2</f>
        <v/>
      </c>
      <c r="D9" s="15" t="inlineStr">
        <is>
          <t>→ Sheet4 참조</t>
        </is>
      </c>
      <c r="E9" s="15">
        <f>B9*220/1000</f>
        <v/>
      </c>
      <c r="F9" s="15">
        <f>TEXT(B9,"0.00")&amp;"A × $F$2 = "&amp;TEXT(C9,"0.00")&amp;"A 이상 선정"</f>
        <v/>
      </c>
    </row>
    <row r="10" ht="5" customHeight="1"/>
    <row r="11" ht="16" customHeight="1">
      <c r="A11" s="16" t="inlineStr">
        <is>
          <t>▶ R/S/T 상별 전류 편중 분석 (참조용 — 상 배분 최적화 시 활용)</t>
        </is>
      </c>
    </row>
    <row r="12" ht="16" customHeight="1">
      <c r="A12" s="17" t="inlineStr">
        <is>
          <t>구분</t>
        </is>
      </c>
      <c r="B12" s="17" t="inlineStr">
        <is>
          <t>R상 (A)</t>
        </is>
      </c>
      <c r="C12" s="17" t="inlineStr">
        <is>
          <t>S상 (A)</t>
        </is>
      </c>
      <c r="D12" s="17" t="inlineStr">
        <is>
          <t>T상 (A)</t>
        </is>
      </c>
      <c r="E12" s="17" t="inlineStr">
        <is>
          <t>최대-최소 (A)</t>
        </is>
      </c>
      <c r="F12" s="17" t="inlineStr">
        <is>
          <t>불균형률 (%)</t>
        </is>
      </c>
      <c r="G12" s="17" t="inlineStr">
        <is>
          <t>판정</t>
        </is>
      </c>
      <c r="H12" s="17" t="inlineStr">
        <is>
          <t>기준: 10% 이하 권장</t>
        </is>
      </c>
    </row>
    <row r="13" ht="16" customHeight="1">
      <c r="A13" s="18" t="inlineStr">
        <is>
          <t>AC 3상 서보드라이버</t>
        </is>
      </c>
      <c r="B13" s="19" t="n"/>
      <c r="C13" s="19" t="n"/>
      <c r="D13" s="19" t="n"/>
      <c r="E13" s="19" t="n"/>
      <c r="F13" s="19" t="n"/>
      <c r="G13" s="19" t="n"/>
      <c r="H13" s="19" t="n"/>
    </row>
    <row r="14" ht="16" customHeight="1">
      <c r="A14" s="18" t="inlineStr">
        <is>
          <t>기타 AC 부하</t>
        </is>
      </c>
      <c r="B14" s="19" t="n"/>
      <c r="C14" s="19" t="n"/>
      <c r="D14" s="19" t="n"/>
      <c r="E14" s="19" t="n"/>
      <c r="F14" s="19" t="n"/>
      <c r="G14" s="19" t="n"/>
      <c r="H14" s="19" t="n"/>
    </row>
    <row r="15" ht="16" customHeight="1">
      <c r="A15" s="18" t="inlineStr">
        <is>
          <t>전체 합계</t>
        </is>
      </c>
      <c r="B15" s="19" t="n"/>
      <c r="C15" s="19" t="n"/>
      <c r="D15" s="19" t="n"/>
      <c r="E15" s="19" t="n"/>
      <c r="F15" s="19" t="n"/>
      <c r="G15" s="19" t="n"/>
      <c r="H15" s="19" t="n"/>
    </row>
    <row r="16" ht="5" customHeight="1"/>
    <row r="17" ht="14" customHeight="1">
      <c r="A17" s="20" t="inlineStr">
        <is>
          <t>기준:</t>
        </is>
      </c>
      <c r="B17" s="20" t="inlineStr">
        <is>
          <t>역률(PF)=$D$2</t>
        </is>
      </c>
      <c r="C17" s="20" t="inlineStr">
        <is>
          <t>안전계수=$F$2</t>
        </is>
      </c>
      <c r="D17" s="20" t="inlineStr">
        <is>
          <t>수용률=$H$2</t>
        </is>
      </c>
    </row>
    <row r="18" ht="20" customHeight="1">
      <c r="A18" s="21" t="inlineStr">
        <is>
          <t>판넬</t>
        </is>
      </c>
      <c r="B18" s="21" t="inlineStr">
        <is>
          <t>축/유닛명</t>
        </is>
      </c>
      <c r="C18" s="21" t="inlineStr">
        <is>
          <t>드라이버/장치 모델</t>
        </is>
      </c>
      <c r="D18" s="21" t="inlineStr">
        <is>
          <t>출력(W)
[자동]</t>
        </is>
      </c>
      <c r="E18" s="21" t="inlineStr">
        <is>
          <t>정격전류(A)
[자동]</t>
        </is>
      </c>
      <c r="F18" s="21" t="inlineStr">
        <is>
          <t>상수</t>
        </is>
      </c>
      <c r="G18" s="21" t="inlineStr">
        <is>
          <t>R상
할당</t>
        </is>
      </c>
      <c r="H18" s="21" t="inlineStr">
        <is>
          <t>S상
할당</t>
        </is>
      </c>
      <c r="I18" s="21" t="inlineStr">
        <is>
          <t>T상
할당</t>
        </is>
      </c>
      <c r="J18" s="21" t="inlineStr">
        <is>
          <t>설계전류(A)
=E×수용률</t>
        </is>
      </c>
      <c r="K18" s="7" t="inlineStr">
        <is>
          <t>전원 구분</t>
        </is>
      </c>
      <c r="O18" s="21" t="inlineStr">
        <is>
          <t>권장
차단기(A)</t>
        </is>
      </c>
      <c r="P18" s="21" t="inlineStr">
        <is>
          <t>제조사/모델</t>
        </is>
      </c>
      <c r="Q18" s="22" t="inlineStr">
        <is>
          <t>비고 / 수식 설명</t>
        </is>
      </c>
    </row>
    <row r="19" ht="24" customHeight="1">
      <c r="K19" s="7" t="inlineStr">
        <is>
          <t>AC 3상
220V</t>
        </is>
      </c>
      <c r="L19" s="7" t="inlineStr">
        <is>
          <t>AC 단상
220V</t>
        </is>
      </c>
      <c r="M19" s="7" t="inlineStr">
        <is>
          <t>DC 24V</t>
        </is>
      </c>
      <c r="N19" s="7" t="inlineStr">
        <is>
          <t>기타</t>
        </is>
      </c>
    </row>
    <row r="20" ht="18" customHeight="1">
      <c r="A20" s="23" t="inlineStr">
        <is>
          <t>■ 판넬 1 — AC 3상 서보드라이버 (파나소닉 A6)</t>
        </is>
      </c>
    </row>
    <row r="21" ht="17" customHeight="1">
      <c r="A21" s="24" t="inlineStr">
        <is>
          <t>판넬1</t>
        </is>
      </c>
      <c r="B21" s="25" t="inlineStr">
        <is>
          <t>LO_Y1</t>
        </is>
      </c>
      <c r="C21" s="25" t="inlineStr">
        <is>
          <t>MDDLN55BL</t>
        </is>
      </c>
      <c r="D21" s="26">
        <f>IFERROR(VLOOKUP(C21,파나소닉A6규격!$A:$B,2,FALSE),"")</f>
        <v/>
      </c>
      <c r="E21" s="27">
        <f>IFERROR(VLOOKUP(C21,파나소닉A6규격!$A:$C,3,FALSE),IFERROR(VLOOKUP(C21,파스텍EziServo규격!$A:$B,2,FALSE),""))</f>
        <v/>
      </c>
      <c r="F21" s="9" t="n">
        <v>1</v>
      </c>
      <c r="G21" s="9" t="n">
        <v>1</v>
      </c>
      <c r="H21" s="9" t="n">
        <v>1</v>
      </c>
      <c r="I21" s="9" t="n">
        <v>1</v>
      </c>
      <c r="J21" s="28">
        <f>IF(E21="","",ROUND(E21*$H$2,3))</f>
        <v/>
      </c>
      <c r="K21" s="9" t="inlineStr">
        <is>
          <t>●</t>
        </is>
      </c>
      <c r="L21" s="9" t="inlineStr"/>
      <c r="M21" s="9" t="inlineStr"/>
      <c r="N21" s="9" t="inlineStr"/>
      <c r="O21" s="29" t="n"/>
      <c r="P21" s="29" t="n"/>
      <c r="Q21" s="30">
        <f>IF(D21="","","출력:"&amp;D21&amp;"W  정격:"&amp;TEXT(E21,"0.0")&amp;"A  설계:"&amp;TEXT(J21,"0.000")&amp;"A")</f>
        <v/>
      </c>
    </row>
    <row r="22" ht="17" customHeight="1">
      <c r="A22" s="24" t="inlineStr">
        <is>
          <t>판넬1</t>
        </is>
      </c>
      <c r="B22" s="25" t="inlineStr">
        <is>
          <t>LO_X1</t>
        </is>
      </c>
      <c r="C22" s="25" t="inlineStr">
        <is>
          <t>MCDLN35BL</t>
        </is>
      </c>
      <c r="D22" s="26">
        <f>IFERROR(VLOOKUP(C22,파나소닉A6규격!$A:$B,2,FALSE),"")</f>
        <v/>
      </c>
      <c r="E22" s="27">
        <f>IFERROR(VLOOKUP(C22,파나소닉A6규격!$A:$C,3,FALSE),IFERROR(VLOOKUP(C22,파스텍EziServo규격!$A:$B,2,FALSE),""))</f>
        <v/>
      </c>
      <c r="F22" s="9" t="n">
        <v>1</v>
      </c>
      <c r="G22" s="9" t="n">
        <v>1</v>
      </c>
      <c r="H22" s="9" t="n">
        <v>1</v>
      </c>
      <c r="I22" s="9" t="n">
        <v>1</v>
      </c>
      <c r="J22" s="28">
        <f>IF(E22="","",ROUND(E22*$H$2,3))</f>
        <v/>
      </c>
      <c r="K22" s="9" t="inlineStr">
        <is>
          <t>●</t>
        </is>
      </c>
      <c r="L22" s="9" t="inlineStr"/>
      <c r="M22" s="9" t="inlineStr"/>
      <c r="N22" s="9" t="inlineStr"/>
      <c r="O22" s="29" t="n"/>
      <c r="P22" s="29" t="n"/>
      <c r="Q22" s="30">
        <f>IF(D22="","","출력:"&amp;D22&amp;"W  정격:"&amp;TEXT(E22,"0.0")&amp;"A  설계:"&amp;TEXT(J22,"0.000")&amp;"A")</f>
        <v/>
      </c>
    </row>
    <row r="23" ht="17" customHeight="1">
      <c r="A23" s="24" t="inlineStr">
        <is>
          <t>판넬1</t>
        </is>
      </c>
      <c r="B23" s="25" t="inlineStr">
        <is>
          <t>LO_Z1</t>
        </is>
      </c>
      <c r="C23" s="25" t="inlineStr">
        <is>
          <t>MADLN05BE</t>
        </is>
      </c>
      <c r="D23" s="26">
        <f>IFERROR(VLOOKUP(C23,파나소닉A6규격!$A:$B,2,FALSE),"")</f>
        <v/>
      </c>
      <c r="E23" s="27">
        <f>IFERROR(VLOOKUP(C23,파나소닉A6규격!$A:$C,3,FALSE),IFERROR(VLOOKUP(C23,파스텍EziServo규격!$A:$B,2,FALSE),""))</f>
        <v/>
      </c>
      <c r="F23" s="9" t="n">
        <v>1</v>
      </c>
      <c r="G23" s="9" t="n">
        <v>1</v>
      </c>
      <c r="H23" s="9" t="n">
        <v>1</v>
      </c>
      <c r="I23" s="9" t="n">
        <v>1</v>
      </c>
      <c r="J23" s="28">
        <f>IF(E23="","",ROUND(E23*$H$2,3))</f>
        <v/>
      </c>
      <c r="K23" s="9" t="inlineStr">
        <is>
          <t>●</t>
        </is>
      </c>
      <c r="L23" s="9" t="inlineStr"/>
      <c r="M23" s="9" t="inlineStr"/>
      <c r="N23" s="9" t="inlineStr"/>
      <c r="O23" s="29" t="n"/>
      <c r="P23" s="29" t="n"/>
      <c r="Q23" s="30">
        <f>IF(D23="","","출력:"&amp;D23&amp;"W  정격:"&amp;TEXT(E23,"0.0")&amp;"A  설계:"&amp;TEXT(J23,"0.000")&amp;"A")</f>
        <v/>
      </c>
    </row>
    <row r="24" ht="17" customHeight="1">
      <c r="A24" s="24" t="inlineStr">
        <is>
          <t>판넬1</t>
        </is>
      </c>
      <c r="B24" s="25" t="inlineStr">
        <is>
          <t>ULO_Y1</t>
        </is>
      </c>
      <c r="C24" s="25" t="inlineStr">
        <is>
          <t>MCDLN35BL</t>
        </is>
      </c>
      <c r="D24" s="26">
        <f>IFERROR(VLOOKUP(C24,파나소닉A6규격!$A:$B,2,FALSE),"")</f>
        <v/>
      </c>
      <c r="E24" s="27">
        <f>IFERROR(VLOOKUP(C24,파나소닉A6규격!$A:$C,3,FALSE),IFERROR(VLOOKUP(C24,파스텍EziServo규격!$A:$B,2,FALSE),""))</f>
        <v/>
      </c>
      <c r="F24" s="9" t="n">
        <v>1</v>
      </c>
      <c r="G24" s="9" t="n">
        <v>1</v>
      </c>
      <c r="H24" s="9" t="n">
        <v>1</v>
      </c>
      <c r="I24" s="9" t="n">
        <v>1</v>
      </c>
      <c r="J24" s="28">
        <f>IF(E24="","",ROUND(E24*$H$2,3))</f>
        <v/>
      </c>
      <c r="K24" s="9" t="inlineStr">
        <is>
          <t>●</t>
        </is>
      </c>
      <c r="L24" s="9" t="inlineStr"/>
      <c r="M24" s="9" t="inlineStr"/>
      <c r="N24" s="9" t="inlineStr"/>
      <c r="O24" s="29" t="n"/>
      <c r="P24" s="29" t="n"/>
      <c r="Q24" s="30">
        <f>IF(D24="","","출력:"&amp;D24&amp;"W  정격:"&amp;TEXT(E24,"0.0")&amp;"A  설계:"&amp;TEXT(J24,"0.000")&amp;"A")</f>
        <v/>
      </c>
    </row>
    <row r="25" ht="17" customHeight="1">
      <c r="A25" s="24" t="inlineStr">
        <is>
          <t>판넬1</t>
        </is>
      </c>
      <c r="B25" s="25" t="inlineStr">
        <is>
          <t>ULO_X1</t>
        </is>
      </c>
      <c r="C25" s="25" t="inlineStr">
        <is>
          <t>MCDLN35BL</t>
        </is>
      </c>
      <c r="D25" s="26">
        <f>IFERROR(VLOOKUP(C25,파나소닉A6규격!$A:$B,2,FALSE),"")</f>
        <v/>
      </c>
      <c r="E25" s="27">
        <f>IFERROR(VLOOKUP(C25,파나소닉A6규격!$A:$C,3,FALSE),IFERROR(VLOOKUP(C25,파스텍EziServo규격!$A:$B,2,FALSE),""))</f>
        <v/>
      </c>
      <c r="F25" s="9" t="n">
        <v>1</v>
      </c>
      <c r="G25" s="9" t="n">
        <v>1</v>
      </c>
      <c r="H25" s="9" t="n">
        <v>1</v>
      </c>
      <c r="I25" s="9" t="n">
        <v>1</v>
      </c>
      <c r="J25" s="28">
        <f>IF(E25="","",ROUND(E25*$H$2,3))</f>
        <v/>
      </c>
      <c r="K25" s="9" t="inlineStr">
        <is>
          <t>●</t>
        </is>
      </c>
      <c r="L25" s="9" t="inlineStr"/>
      <c r="M25" s="9" t="inlineStr"/>
      <c r="N25" s="9" t="inlineStr"/>
      <c r="O25" s="29" t="n"/>
      <c r="P25" s="29" t="n"/>
      <c r="Q25" s="30">
        <f>IF(D25="","","출력:"&amp;D25&amp;"W  정격:"&amp;TEXT(E25,"0.0")&amp;"A  설계:"&amp;TEXT(J25,"0.000")&amp;"A")</f>
        <v/>
      </c>
    </row>
    <row r="26" ht="17" customHeight="1">
      <c r="A26" s="24" t="inlineStr">
        <is>
          <t>판넬1</t>
        </is>
      </c>
      <c r="B26" s="25" t="inlineStr">
        <is>
          <t>ULO_Z1</t>
        </is>
      </c>
      <c r="C26" s="25" t="inlineStr">
        <is>
          <t>MADLN05BE</t>
        </is>
      </c>
      <c r="D26" s="26">
        <f>IFERROR(VLOOKUP(C26,파나소닉A6규격!$A:$B,2,FALSE),"")</f>
        <v/>
      </c>
      <c r="E26" s="27">
        <f>IFERROR(VLOOKUP(C26,파나소닉A6규격!$A:$C,3,FALSE),IFERROR(VLOOKUP(C26,파스텍EziServo규격!$A:$B,2,FALSE),""))</f>
        <v/>
      </c>
      <c r="F26" s="9" t="n">
        <v>1</v>
      </c>
      <c r="G26" s="9" t="n">
        <v>1</v>
      </c>
      <c r="H26" s="9" t="n">
        <v>1</v>
      </c>
      <c r="I26" s="9" t="n">
        <v>1</v>
      </c>
      <c r="J26" s="28">
        <f>IF(E26="","",ROUND(E26*$H$2,3))</f>
        <v/>
      </c>
      <c r="K26" s="9" t="inlineStr">
        <is>
          <t>●</t>
        </is>
      </c>
      <c r="L26" s="9" t="inlineStr"/>
      <c r="M26" s="9" t="inlineStr"/>
      <c r="N26" s="9" t="inlineStr"/>
      <c r="O26" s="29" t="n"/>
      <c r="P26" s="29" t="n"/>
      <c r="Q26" s="30">
        <f>IF(D26="","","출력:"&amp;D26&amp;"W  정격:"&amp;TEXT(E26,"0.0")&amp;"A  설계:"&amp;TEXT(J26,"0.000")&amp;"A")</f>
        <v/>
      </c>
    </row>
    <row r="27" ht="17" customHeight="1">
      <c r="A27" s="24" t="inlineStr">
        <is>
          <t>판넬1</t>
        </is>
      </c>
      <c r="B27" s="25" t="inlineStr">
        <is>
          <t>NG_EV</t>
        </is>
      </c>
      <c r="C27" s="25" t="inlineStr">
        <is>
          <t>MCDLN35BE</t>
        </is>
      </c>
      <c r="D27" s="26">
        <f>IFERROR(VLOOKUP(C27,파나소닉A6규격!$A:$B,2,FALSE),"")</f>
        <v/>
      </c>
      <c r="E27" s="27">
        <f>IFERROR(VLOOKUP(C27,파나소닉A6규격!$A:$C,3,FALSE),IFERROR(VLOOKUP(C27,파스텍EziServo규격!$A:$B,2,FALSE),""))</f>
        <v/>
      </c>
      <c r="F27" s="9" t="n">
        <v>1</v>
      </c>
      <c r="G27" s="9" t="n">
        <v>1</v>
      </c>
      <c r="H27" s="9" t="n">
        <v>1</v>
      </c>
      <c r="I27" s="9" t="n">
        <v>1</v>
      </c>
      <c r="J27" s="28">
        <f>IF(E27="","",ROUND(E27*$H$2,3))</f>
        <v/>
      </c>
      <c r="K27" s="9" t="inlineStr">
        <is>
          <t>●</t>
        </is>
      </c>
      <c r="L27" s="9" t="inlineStr"/>
      <c r="M27" s="9" t="inlineStr"/>
      <c r="N27" s="9" t="inlineStr"/>
      <c r="O27" s="29" t="n"/>
      <c r="P27" s="29" t="n"/>
      <c r="Q27" s="30">
        <f>IF(D27="","","출력:"&amp;D27&amp;"W  정격:"&amp;TEXT(E27,"0.0")&amp;"A  설계:"&amp;TEXT(J27,"0.000")&amp;"A")</f>
        <v/>
      </c>
    </row>
    <row r="28" ht="17" customHeight="1">
      <c r="A28" s="24" t="inlineStr">
        <is>
          <t>판넬1</t>
        </is>
      </c>
      <c r="B28" s="25" t="inlineStr">
        <is>
          <t>NG_FD</t>
        </is>
      </c>
      <c r="C28" s="25" t="inlineStr">
        <is>
          <t>MADLN05BE</t>
        </is>
      </c>
      <c r="D28" s="26">
        <f>IFERROR(VLOOKUP(C28,파나소닉A6규격!$A:$B,2,FALSE),"")</f>
        <v/>
      </c>
      <c r="E28" s="27">
        <f>IFERROR(VLOOKUP(C28,파나소닉A6규격!$A:$C,3,FALSE),IFERROR(VLOOKUP(C28,파스텍EziServo규격!$A:$B,2,FALSE),""))</f>
        <v/>
      </c>
      <c r="F28" s="9" t="n">
        <v>1</v>
      </c>
      <c r="G28" s="9" t="n">
        <v>1</v>
      </c>
      <c r="H28" s="9" t="n">
        <v>1</v>
      </c>
      <c r="I28" s="9" t="n">
        <v>1</v>
      </c>
      <c r="J28" s="28">
        <f>IF(E28="","",ROUND(E28*$H$2,3))</f>
        <v/>
      </c>
      <c r="K28" s="9" t="inlineStr">
        <is>
          <t>●</t>
        </is>
      </c>
      <c r="L28" s="9" t="inlineStr"/>
      <c r="M28" s="9" t="inlineStr"/>
      <c r="N28" s="9" t="inlineStr"/>
      <c r="O28" s="29" t="n"/>
      <c r="P28" s="29" t="n"/>
      <c r="Q28" s="30">
        <f>IF(D28="","","출력:"&amp;D28&amp;"W  정격:"&amp;TEXT(E28,"0.0")&amp;"A  설계:"&amp;TEXT(J28,"0.000")&amp;"A")</f>
        <v/>
      </c>
    </row>
    <row r="29" ht="17" customHeight="1">
      <c r="A29" s="24" t="inlineStr">
        <is>
          <t>판넬1</t>
        </is>
      </c>
      <c r="B29" s="25" t="inlineStr">
        <is>
          <t>NG_FD_Z</t>
        </is>
      </c>
      <c r="C29" s="25" t="inlineStr">
        <is>
          <t>MBDLN25BE</t>
        </is>
      </c>
      <c r="D29" s="26">
        <f>IFERROR(VLOOKUP(C29,파나소닉A6규격!$A:$B,2,FALSE),"")</f>
        <v/>
      </c>
      <c r="E29" s="27">
        <f>IFERROR(VLOOKUP(C29,파나소닉A6규격!$A:$C,3,FALSE),IFERROR(VLOOKUP(C29,파스텍EziServo규격!$A:$B,2,FALSE),""))</f>
        <v/>
      </c>
      <c r="F29" s="9" t="n">
        <v>1</v>
      </c>
      <c r="G29" s="9" t="n">
        <v>1</v>
      </c>
      <c r="H29" s="9" t="n">
        <v>1</v>
      </c>
      <c r="I29" s="9" t="n">
        <v>1</v>
      </c>
      <c r="J29" s="28">
        <f>IF(E29="","",ROUND(E29*$H$2,3))</f>
        <v/>
      </c>
      <c r="K29" s="9" t="inlineStr">
        <is>
          <t>●</t>
        </is>
      </c>
      <c r="L29" s="9" t="inlineStr"/>
      <c r="M29" s="9" t="inlineStr"/>
      <c r="N29" s="9" t="inlineStr"/>
      <c r="O29" s="29" t="n"/>
      <c r="P29" s="29" t="n"/>
      <c r="Q29" s="30">
        <f>IF(D29="","","출력:"&amp;D29&amp;"W  정격:"&amp;TEXT(E29,"0.0")&amp;"A  설계:"&amp;TEXT(J29,"0.000")&amp;"A")</f>
        <v/>
      </c>
    </row>
    <row r="30" ht="17" customHeight="1">
      <c r="A30" s="24" t="inlineStr">
        <is>
          <t>판넬1</t>
        </is>
      </c>
      <c r="B30" s="25" t="inlineStr">
        <is>
          <t>NG_FD_ALIGN</t>
        </is>
      </c>
      <c r="C30" s="25" t="inlineStr">
        <is>
          <t>MADLN05BE</t>
        </is>
      </c>
      <c r="D30" s="26">
        <f>IFERROR(VLOOKUP(C30,파나소닉A6규격!$A:$B,2,FALSE),"")</f>
        <v/>
      </c>
      <c r="E30" s="27">
        <f>IFERROR(VLOOKUP(C30,파나소닉A6규격!$A:$C,3,FALSE),IFERROR(VLOOKUP(C30,파스텍EziServo규격!$A:$B,2,FALSE),""))</f>
        <v/>
      </c>
      <c r="F30" s="9" t="n">
        <v>1</v>
      </c>
      <c r="G30" s="9" t="n">
        <v>1</v>
      </c>
      <c r="H30" s="9" t="n">
        <v>1</v>
      </c>
      <c r="I30" s="9" t="n">
        <v>1</v>
      </c>
      <c r="J30" s="28">
        <f>IF(E30="","",ROUND(E30*$H$2,3))</f>
        <v/>
      </c>
      <c r="K30" s="9" t="inlineStr">
        <is>
          <t>●</t>
        </is>
      </c>
      <c r="L30" s="9" t="inlineStr"/>
      <c r="M30" s="9" t="inlineStr"/>
      <c r="N30" s="9" t="inlineStr"/>
      <c r="O30" s="29" t="n"/>
      <c r="P30" s="29" t="n"/>
      <c r="Q30" s="30">
        <f>IF(D30="","","출력:"&amp;D30&amp;"W  정격:"&amp;TEXT(E30,"0.0")&amp;"A  설계:"&amp;TEXT(J30,"0.000")&amp;"A")</f>
        <v/>
      </c>
    </row>
    <row r="31" ht="17" customHeight="1">
      <c r="A31" s="24" t="inlineStr">
        <is>
          <t>판넬1</t>
        </is>
      </c>
      <c r="B31" s="25" t="inlineStr">
        <is>
          <t>NG_FD_INDEX</t>
        </is>
      </c>
      <c r="C31" s="25" t="inlineStr">
        <is>
          <t>MBDLN25BE</t>
        </is>
      </c>
      <c r="D31" s="26">
        <f>IFERROR(VLOOKUP(C31,파나소닉A6규격!$A:$B,2,FALSE),"")</f>
        <v/>
      </c>
      <c r="E31" s="27">
        <f>IFERROR(VLOOKUP(C31,파나소닉A6규격!$A:$C,3,FALSE),IFERROR(VLOOKUP(C31,파스텍EziServo규격!$A:$B,2,FALSE),""))</f>
        <v/>
      </c>
      <c r="F31" s="9" t="n">
        <v>1</v>
      </c>
      <c r="G31" s="9" t="n">
        <v>1</v>
      </c>
      <c r="H31" s="9" t="n">
        <v>1</v>
      </c>
      <c r="I31" s="9" t="n">
        <v>1</v>
      </c>
      <c r="J31" s="28">
        <f>IF(E31="","",ROUND(E31*$H$2,3))</f>
        <v/>
      </c>
      <c r="K31" s="9" t="inlineStr">
        <is>
          <t>●</t>
        </is>
      </c>
      <c r="L31" s="9" t="inlineStr"/>
      <c r="M31" s="9" t="inlineStr"/>
      <c r="N31" s="9" t="inlineStr"/>
      <c r="O31" s="29" t="n"/>
      <c r="P31" s="29" t="n"/>
      <c r="Q31" s="30">
        <f>IF(D31="","","출력:"&amp;D31&amp;"W  정격:"&amp;TEXT(E31,"0.0")&amp;"A  설계:"&amp;TEXT(J31,"0.000")&amp;"A")</f>
        <v/>
      </c>
    </row>
    <row r="32" ht="17" customHeight="1">
      <c r="A32" s="24" t="inlineStr">
        <is>
          <t>판넬1</t>
        </is>
      </c>
      <c r="B32" s="25" t="inlineStr">
        <is>
          <t>JIG_ULO_Y</t>
        </is>
      </c>
      <c r="C32" s="25" t="inlineStr">
        <is>
          <t>MADLN05BE</t>
        </is>
      </c>
      <c r="D32" s="26">
        <f>IFERROR(VLOOKUP(C32,파나소닉A6규격!$A:$B,2,FALSE),"")</f>
        <v/>
      </c>
      <c r="E32" s="27">
        <f>IFERROR(VLOOKUP(C32,파나소닉A6규격!$A:$C,3,FALSE),IFERROR(VLOOKUP(C32,파스텍EziServo규격!$A:$B,2,FALSE),""))</f>
        <v/>
      </c>
      <c r="F32" s="9" t="n">
        <v>1</v>
      </c>
      <c r="G32" s="9" t="n">
        <v>1</v>
      </c>
      <c r="H32" s="9" t="n">
        <v>1</v>
      </c>
      <c r="I32" s="9" t="n">
        <v>1</v>
      </c>
      <c r="J32" s="28">
        <f>IF(E32="","",ROUND(E32*$H$2,3))</f>
        <v/>
      </c>
      <c r="K32" s="9" t="inlineStr">
        <is>
          <t>●</t>
        </is>
      </c>
      <c r="L32" s="9" t="inlineStr"/>
      <c r="M32" s="9" t="inlineStr"/>
      <c r="N32" s="9" t="inlineStr"/>
      <c r="O32" s="29" t="n"/>
      <c r="P32" s="29" t="n"/>
      <c r="Q32" s="30">
        <f>IF(D32="","","출력:"&amp;D32&amp;"W  정격:"&amp;TEXT(E32,"0.0")&amp;"A  설계:"&amp;TEXT(J32,"0.000")&amp;"A")</f>
        <v/>
      </c>
    </row>
    <row r="33" ht="17" customHeight="1">
      <c r="A33" s="24" t="inlineStr">
        <is>
          <t>판넬1</t>
        </is>
      </c>
      <c r="B33" s="25" t="inlineStr">
        <is>
          <t>JIG_ULO_Z</t>
        </is>
      </c>
      <c r="C33" s="25" t="inlineStr">
        <is>
          <t>MADLN05BE</t>
        </is>
      </c>
      <c r="D33" s="26">
        <f>IFERROR(VLOOKUP(C33,파나소닉A6규격!$A:$B,2,FALSE),"")</f>
        <v/>
      </c>
      <c r="E33" s="27">
        <f>IFERROR(VLOOKUP(C33,파나소닉A6규격!$A:$C,3,FALSE),IFERROR(VLOOKUP(C33,파스텍EziServo규격!$A:$B,2,FALSE),""))</f>
        <v/>
      </c>
      <c r="F33" s="9" t="n">
        <v>1</v>
      </c>
      <c r="G33" s="9" t="n">
        <v>1</v>
      </c>
      <c r="H33" s="9" t="n">
        <v>1</v>
      </c>
      <c r="I33" s="9" t="n">
        <v>1</v>
      </c>
      <c r="J33" s="28">
        <f>IF(E33="","",ROUND(E33*$H$2,3))</f>
        <v/>
      </c>
      <c r="K33" s="9" t="inlineStr">
        <is>
          <t>●</t>
        </is>
      </c>
      <c r="L33" s="9" t="inlineStr"/>
      <c r="M33" s="9" t="inlineStr"/>
      <c r="N33" s="9" t="inlineStr"/>
      <c r="O33" s="29" t="n"/>
      <c r="P33" s="29" t="n"/>
      <c r="Q33" s="30">
        <f>IF(D33="","","출력:"&amp;D33&amp;"W  정격:"&amp;TEXT(E33,"0.0")&amp;"A  설계:"&amp;TEXT(J33,"0.000")&amp;"A")</f>
        <v/>
      </c>
    </row>
    <row r="34" ht="18" customHeight="1">
      <c r="A34" s="31" t="inlineStr">
        <is>
          <t xml:space="preserve">  ▶ 판넬 1 AC합계</t>
        </is>
      </c>
      <c r="D34" s="32" t="n"/>
      <c r="E34" s="33">
        <f>SUM(E21:E33)</f>
        <v/>
      </c>
      <c r="F34" s="32" t="n"/>
      <c r="G34" s="32" t="n"/>
      <c r="H34" s="32" t="n"/>
      <c r="I34" s="32" t="n"/>
      <c r="J34" s="33">
        <f>SUM(J21:J33)</f>
        <v/>
      </c>
      <c r="K34" s="32" t="n"/>
      <c r="L34" s="32" t="n"/>
      <c r="M34" s="32" t="n"/>
      <c r="N34" s="32" t="n"/>
      <c r="O34" s="34" t="n">
        <v>20</v>
      </c>
      <c r="P34" s="35" t="inlineStr">
        <is>
          <t>LS ABN20c</t>
        </is>
      </c>
      <c r="Q34" s="36">
        <f>TEXT(J34,"0.00")&amp;"A×안전계수("&amp;$F$2&amp;")="&amp;TEXT(J34*$F$2,"0.00")&amp;"A → 20A 선정"</f>
        <v/>
      </c>
    </row>
    <row r="35" ht="14" customHeight="1">
      <c r="A35" s="37" t="inlineStr">
        <is>
          <t>판넬</t>
        </is>
      </c>
      <c r="B35" s="37" t="inlineStr">
        <is>
          <t>축/유닛명</t>
        </is>
      </c>
      <c r="C35" s="37" t="inlineStr">
        <is>
          <t>드라이버/장치 모델</t>
        </is>
      </c>
      <c r="D35" s="37" t="inlineStr">
        <is>
          <t>출력W[자동]</t>
        </is>
      </c>
      <c r="E35" s="37" t="inlineStr">
        <is>
          <t>정격전류[자동]</t>
        </is>
      </c>
      <c r="F35" s="37" t="inlineStr">
        <is>
          <t>상수</t>
        </is>
      </c>
      <c r="G35" s="37" t="inlineStr">
        <is>
          <t>R상</t>
        </is>
      </c>
      <c r="H35" s="37" t="inlineStr">
        <is>
          <t>S상</t>
        </is>
      </c>
      <c r="I35" s="37" t="inlineStr">
        <is>
          <t>T상</t>
        </is>
      </c>
      <c r="J35" s="37" t="inlineStr">
        <is>
          <t>설계전류(×수용률)</t>
        </is>
      </c>
      <c r="K35" s="37" t="inlineStr">
        <is>
          <t>AC3상</t>
        </is>
      </c>
      <c r="L35" s="37" t="inlineStr">
        <is>
          <t>AC단상</t>
        </is>
      </c>
      <c r="M35" s="37" t="inlineStr">
        <is>
          <t>DC24V</t>
        </is>
      </c>
      <c r="N35" s="37" t="inlineStr">
        <is>
          <t>기타</t>
        </is>
      </c>
      <c r="O35" s="37" t="inlineStr">
        <is>
          <t>권장차단기</t>
        </is>
      </c>
      <c r="P35" s="37" t="inlineStr">
        <is>
          <t>제조사/모델</t>
        </is>
      </c>
      <c r="Q35" s="37" t="inlineStr">
        <is>
          <t>비고</t>
        </is>
      </c>
    </row>
    <row r="36" ht="18" customHeight="1">
      <c r="A36" s="38" t="inlineStr">
        <is>
          <t xml:space="preserve">   ■ 파스텍 EziServo / EziSpeed (AC 단상 입력) — 판넬 1</t>
        </is>
      </c>
    </row>
    <row r="37" ht="17" customHeight="1">
      <c r="A37" s="39" t="inlineStr">
        <is>
          <t>판넬1</t>
        </is>
      </c>
      <c r="B37" s="40" t="inlineStr">
        <is>
          <t>LO_R1_1</t>
        </is>
      </c>
      <c r="C37" s="40" t="inlineStr">
        <is>
          <t>Ezi-EC-42XL-A</t>
        </is>
      </c>
      <c r="D37" s="41">
        <f>IFERROR(VLOOKUP(C37,파나소닉A6규격!$A:$B,2,FALSE),"")</f>
        <v/>
      </c>
      <c r="E37" s="42">
        <f>IFERROR(VLOOKUP(C37,파나소닉A6규격!$A:$C,3,FALSE),IFERROR(VLOOKUP(C37,파스텍EziServo규격!$A:$B,2,FALSE),""))</f>
        <v/>
      </c>
      <c r="F37" s="11" t="n">
        <v>1</v>
      </c>
      <c r="G37" s="11" t="n">
        <v>0</v>
      </c>
      <c r="H37" s="11" t="n">
        <v>0</v>
      </c>
      <c r="I37" s="11" t="n">
        <v>0</v>
      </c>
      <c r="J37" s="43">
        <f>IF(E37="","",ROUND(E37*$H$2,3))</f>
        <v/>
      </c>
      <c r="K37" s="11" t="inlineStr"/>
      <c r="L37" s="11" t="inlineStr">
        <is>
          <t>●</t>
        </is>
      </c>
      <c r="M37" s="11" t="inlineStr"/>
      <c r="N37" s="11" t="inlineStr"/>
      <c r="O37" s="44" t="n"/>
      <c r="P37" s="44" t="n"/>
      <c r="Q37" s="45" t="inlineStr">
        <is>
          <t>LO 회전 R1 #1</t>
        </is>
      </c>
    </row>
    <row r="38" ht="17" customHeight="1">
      <c r="A38" s="39" t="inlineStr">
        <is>
          <t>판넬1</t>
        </is>
      </c>
      <c r="B38" s="40" t="inlineStr">
        <is>
          <t>LO_R1_2</t>
        </is>
      </c>
      <c r="C38" s="40" t="inlineStr">
        <is>
          <t>Ezi-EC-42XL-A</t>
        </is>
      </c>
      <c r="D38" s="41">
        <f>IFERROR(VLOOKUP(C38,파나소닉A6규격!$A:$B,2,FALSE),"")</f>
        <v/>
      </c>
      <c r="E38" s="42">
        <f>IFERROR(VLOOKUP(C38,파나소닉A6규격!$A:$C,3,FALSE),IFERROR(VLOOKUP(C38,파스텍EziServo규격!$A:$B,2,FALSE),""))</f>
        <v/>
      </c>
      <c r="F38" s="11" t="n">
        <v>1</v>
      </c>
      <c r="G38" s="11" t="n">
        <v>0</v>
      </c>
      <c r="H38" s="11" t="n">
        <v>0</v>
      </c>
      <c r="I38" s="11" t="n">
        <v>0</v>
      </c>
      <c r="J38" s="43">
        <f>IF(E38="","",ROUND(E38*$H$2,3))</f>
        <v/>
      </c>
      <c r="K38" s="11" t="inlineStr"/>
      <c r="L38" s="11" t="inlineStr">
        <is>
          <t>●</t>
        </is>
      </c>
      <c r="M38" s="11" t="inlineStr"/>
      <c r="N38" s="11" t="inlineStr"/>
      <c r="O38" s="44" t="n"/>
      <c r="P38" s="44" t="n"/>
      <c r="Q38" s="45" t="inlineStr">
        <is>
          <t>LO 회전 R1 #2</t>
        </is>
      </c>
    </row>
    <row r="39" ht="14" customHeight="1">
      <c r="A39" s="37" t="inlineStr">
        <is>
          <t>판넬</t>
        </is>
      </c>
      <c r="B39" s="37" t="inlineStr">
        <is>
          <t>축/유닛명</t>
        </is>
      </c>
      <c r="C39" s="37" t="inlineStr">
        <is>
          <t>드라이버/장치 모델</t>
        </is>
      </c>
      <c r="D39" s="37" t="inlineStr">
        <is>
          <t>출력W[자동]</t>
        </is>
      </c>
      <c r="E39" s="37" t="inlineStr">
        <is>
          <t>정격전류[자동]</t>
        </is>
      </c>
      <c r="F39" s="37" t="inlineStr">
        <is>
          <t>상수</t>
        </is>
      </c>
      <c r="G39" s="37" t="inlineStr">
        <is>
          <t>R상</t>
        </is>
      </c>
      <c r="H39" s="37" t="inlineStr">
        <is>
          <t>S상</t>
        </is>
      </c>
      <c r="I39" s="37" t="inlineStr">
        <is>
          <t>T상</t>
        </is>
      </c>
      <c r="J39" s="37" t="inlineStr">
        <is>
          <t>설계전류(×수용률)</t>
        </is>
      </c>
      <c r="K39" s="37" t="inlineStr">
        <is>
          <t>AC3상</t>
        </is>
      </c>
      <c r="L39" s="37" t="inlineStr">
        <is>
          <t>AC단상</t>
        </is>
      </c>
      <c r="M39" s="37" t="inlineStr">
        <is>
          <t>DC24V</t>
        </is>
      </c>
      <c r="N39" s="37" t="inlineStr">
        <is>
          <t>기타</t>
        </is>
      </c>
      <c r="O39" s="37" t="inlineStr">
        <is>
          <t>권장차단기</t>
        </is>
      </c>
      <c r="P39" s="37" t="inlineStr">
        <is>
          <t>제조사/모델</t>
        </is>
      </c>
      <c r="Q39" s="37" t="inlineStr">
        <is>
          <t>비고</t>
        </is>
      </c>
    </row>
    <row r="40" ht="18" customHeight="1">
      <c r="A40" s="23" t="inlineStr">
        <is>
          <t>■ 판넬 2 — AC 3상 서보드라이버 (파나소닉 A6)</t>
        </is>
      </c>
    </row>
    <row r="41" ht="17" customHeight="1">
      <c r="A41" s="46" t="inlineStr">
        <is>
          <t>판넬2</t>
        </is>
      </c>
      <c r="B41" s="47" t="inlineStr">
        <is>
          <t>GOOD_EV</t>
        </is>
      </c>
      <c r="C41" s="47" t="inlineStr">
        <is>
          <t>MCDLN35BE</t>
        </is>
      </c>
      <c r="D41" s="48">
        <f>IFERROR(VLOOKUP(C41,파나소닉A6규격!$A:$B,2,FALSE),"")</f>
        <v/>
      </c>
      <c r="E41" s="49">
        <f>IFERROR(VLOOKUP(C41,파나소닉A6규격!$A:$C,3,FALSE),IFERROR(VLOOKUP(C41,파스텍EziServo규격!$A:$B,2,FALSE),""))</f>
        <v/>
      </c>
      <c r="F41" s="50" t="n">
        <v>1</v>
      </c>
      <c r="G41" s="50" t="n">
        <v>1</v>
      </c>
      <c r="H41" s="50" t="n">
        <v>1</v>
      </c>
      <c r="I41" s="50" t="n">
        <v>1</v>
      </c>
      <c r="J41" s="51">
        <f>IF(E41="","",ROUND(E41*$H$2,3))</f>
        <v/>
      </c>
      <c r="K41" s="50" t="inlineStr">
        <is>
          <t>●</t>
        </is>
      </c>
      <c r="L41" s="50" t="inlineStr"/>
      <c r="M41" s="50" t="inlineStr"/>
      <c r="N41" s="50" t="inlineStr"/>
      <c r="O41" s="52" t="n"/>
      <c r="P41" s="52" t="n"/>
      <c r="Q41" s="53" t="inlineStr"/>
    </row>
    <row r="42" ht="17" customHeight="1">
      <c r="A42" s="46" t="inlineStr">
        <is>
          <t>판넬2</t>
        </is>
      </c>
      <c r="B42" s="47" t="inlineStr">
        <is>
          <t>GOOD_FD</t>
        </is>
      </c>
      <c r="C42" s="47" t="inlineStr">
        <is>
          <t>MADLN05BE</t>
        </is>
      </c>
      <c r="D42" s="48">
        <f>IFERROR(VLOOKUP(C42,파나소닉A6규격!$A:$B,2,FALSE),"")</f>
        <v/>
      </c>
      <c r="E42" s="49">
        <f>IFERROR(VLOOKUP(C42,파나소닉A6규격!$A:$C,3,FALSE),IFERROR(VLOOKUP(C42,파스텍EziServo규격!$A:$B,2,FALSE),""))</f>
        <v/>
      </c>
      <c r="F42" s="50" t="n">
        <v>1</v>
      </c>
      <c r="G42" s="50" t="n">
        <v>1</v>
      </c>
      <c r="H42" s="50" t="n">
        <v>1</v>
      </c>
      <c r="I42" s="50" t="n">
        <v>1</v>
      </c>
      <c r="J42" s="51">
        <f>IF(E42="","",ROUND(E42*$H$2,3))</f>
        <v/>
      </c>
      <c r="K42" s="50" t="inlineStr">
        <is>
          <t>●</t>
        </is>
      </c>
      <c r="L42" s="50" t="inlineStr"/>
      <c r="M42" s="50" t="inlineStr"/>
      <c r="N42" s="50" t="inlineStr"/>
      <c r="O42" s="52" t="n"/>
      <c r="P42" s="52" t="n"/>
      <c r="Q42" s="53" t="inlineStr"/>
    </row>
    <row r="43" ht="17" customHeight="1">
      <c r="A43" s="46" t="inlineStr">
        <is>
          <t>판넬2</t>
        </is>
      </c>
      <c r="B43" s="47" t="inlineStr">
        <is>
          <t>GOOD_FD_Z</t>
        </is>
      </c>
      <c r="C43" s="47" t="inlineStr">
        <is>
          <t>MBDLN25BE</t>
        </is>
      </c>
      <c r="D43" s="48">
        <f>IFERROR(VLOOKUP(C43,파나소닉A6규격!$A:$B,2,FALSE),"")</f>
        <v/>
      </c>
      <c r="E43" s="49">
        <f>IFERROR(VLOOKUP(C43,파나소닉A6규격!$A:$C,3,FALSE),IFERROR(VLOOKUP(C43,파스텍EziServo규격!$A:$B,2,FALSE),""))</f>
        <v/>
      </c>
      <c r="F43" s="50" t="n">
        <v>1</v>
      </c>
      <c r="G43" s="50" t="n">
        <v>1</v>
      </c>
      <c r="H43" s="50" t="n">
        <v>1</v>
      </c>
      <c r="I43" s="50" t="n">
        <v>1</v>
      </c>
      <c r="J43" s="51">
        <f>IF(E43="","",ROUND(E43*$H$2,3))</f>
        <v/>
      </c>
      <c r="K43" s="50" t="inlineStr">
        <is>
          <t>●</t>
        </is>
      </c>
      <c r="L43" s="50" t="inlineStr"/>
      <c r="M43" s="50" t="inlineStr"/>
      <c r="N43" s="50" t="inlineStr"/>
      <c r="O43" s="52" t="n"/>
      <c r="P43" s="52" t="n"/>
      <c r="Q43" s="53" t="inlineStr"/>
    </row>
    <row r="44" ht="17" customHeight="1">
      <c r="A44" s="46" t="inlineStr">
        <is>
          <t>판넬2</t>
        </is>
      </c>
      <c r="B44" s="47" t="inlineStr">
        <is>
          <t>GOOD_FD_ALIGN</t>
        </is>
      </c>
      <c r="C44" s="47" t="inlineStr">
        <is>
          <t>MADLN05BE</t>
        </is>
      </c>
      <c r="D44" s="48">
        <f>IFERROR(VLOOKUP(C44,파나소닉A6규격!$A:$B,2,FALSE),"")</f>
        <v/>
      </c>
      <c r="E44" s="49">
        <f>IFERROR(VLOOKUP(C44,파나소닉A6규격!$A:$C,3,FALSE),IFERROR(VLOOKUP(C44,파스텍EziServo규격!$A:$B,2,FALSE),""))</f>
        <v/>
      </c>
      <c r="F44" s="50" t="n">
        <v>1</v>
      </c>
      <c r="G44" s="50" t="n">
        <v>1</v>
      </c>
      <c r="H44" s="50" t="n">
        <v>1</v>
      </c>
      <c r="I44" s="50" t="n">
        <v>1</v>
      </c>
      <c r="J44" s="51">
        <f>IF(E44="","",ROUND(E44*$H$2,3))</f>
        <v/>
      </c>
      <c r="K44" s="50" t="inlineStr">
        <is>
          <t>●</t>
        </is>
      </c>
      <c r="L44" s="50" t="inlineStr"/>
      <c r="M44" s="50" t="inlineStr"/>
      <c r="N44" s="50" t="inlineStr"/>
      <c r="O44" s="52" t="n"/>
      <c r="P44" s="52" t="n"/>
      <c r="Q44" s="53" t="inlineStr"/>
    </row>
    <row r="45" ht="17" customHeight="1">
      <c r="A45" s="46" t="inlineStr">
        <is>
          <t>판넬2</t>
        </is>
      </c>
      <c r="B45" s="47" t="inlineStr">
        <is>
          <t>GOOD_FD_INDEX</t>
        </is>
      </c>
      <c r="C45" s="47" t="inlineStr">
        <is>
          <t>MBDLN25BE</t>
        </is>
      </c>
      <c r="D45" s="48">
        <f>IFERROR(VLOOKUP(C45,파나소닉A6규격!$A:$B,2,FALSE),"")</f>
        <v/>
      </c>
      <c r="E45" s="49">
        <f>IFERROR(VLOOKUP(C45,파나소닉A6규격!$A:$C,3,FALSE),IFERROR(VLOOKUP(C45,파스텍EziServo규격!$A:$B,2,FALSE),""))</f>
        <v/>
      </c>
      <c r="F45" s="50" t="n">
        <v>1</v>
      </c>
      <c r="G45" s="50" t="n">
        <v>1</v>
      </c>
      <c r="H45" s="50" t="n">
        <v>1</v>
      </c>
      <c r="I45" s="50" t="n">
        <v>1</v>
      </c>
      <c r="J45" s="51">
        <f>IF(E45="","",ROUND(E45*$H$2,3))</f>
        <v/>
      </c>
      <c r="K45" s="50" t="inlineStr">
        <is>
          <t>●</t>
        </is>
      </c>
      <c r="L45" s="50" t="inlineStr"/>
      <c r="M45" s="50" t="inlineStr"/>
      <c r="N45" s="50" t="inlineStr"/>
      <c r="O45" s="52" t="n"/>
      <c r="P45" s="52" t="n"/>
      <c r="Q45" s="53" t="inlineStr"/>
    </row>
    <row r="46" ht="17" customHeight="1">
      <c r="A46" s="46" t="inlineStr">
        <is>
          <t>판넬2</t>
        </is>
      </c>
      <c r="B46" s="47" t="inlineStr">
        <is>
          <t>TURN_Y</t>
        </is>
      </c>
      <c r="C46" s="47" t="inlineStr">
        <is>
          <t>MBDLN25BE</t>
        </is>
      </c>
      <c r="D46" s="48">
        <f>IFERROR(VLOOKUP(C46,파나소닉A6규격!$A:$B,2,FALSE),"")</f>
        <v/>
      </c>
      <c r="E46" s="49">
        <f>IFERROR(VLOOKUP(C46,파나소닉A6규격!$A:$C,3,FALSE),IFERROR(VLOOKUP(C46,파스텍EziServo규격!$A:$B,2,FALSE),""))</f>
        <v/>
      </c>
      <c r="F46" s="50" t="n">
        <v>1</v>
      </c>
      <c r="G46" s="50" t="n">
        <v>1</v>
      </c>
      <c r="H46" s="50" t="n">
        <v>1</v>
      </c>
      <c r="I46" s="50" t="n">
        <v>1</v>
      </c>
      <c r="J46" s="51">
        <f>IF(E46="","",ROUND(E46*$H$2,3))</f>
        <v/>
      </c>
      <c r="K46" s="50" t="inlineStr">
        <is>
          <t>●</t>
        </is>
      </c>
      <c r="L46" s="50" t="inlineStr"/>
      <c r="M46" s="50" t="inlineStr"/>
      <c r="N46" s="50" t="inlineStr"/>
      <c r="O46" s="52" t="n"/>
      <c r="P46" s="52" t="n"/>
      <c r="Q46" s="53" t="inlineStr"/>
    </row>
    <row r="47" ht="17" customHeight="1">
      <c r="A47" s="46" t="inlineStr">
        <is>
          <t>판넬2</t>
        </is>
      </c>
      <c r="B47" s="47" t="inlineStr">
        <is>
          <t>TURN_GRIPPER_Y1</t>
        </is>
      </c>
      <c r="C47" s="47" t="inlineStr">
        <is>
          <t>MADLN15BE</t>
        </is>
      </c>
      <c r="D47" s="48">
        <f>IFERROR(VLOOKUP(C47,파나소닉A6규격!$A:$B,2,FALSE),"")</f>
        <v/>
      </c>
      <c r="E47" s="49">
        <f>IFERROR(VLOOKUP(C47,파나소닉A6규격!$A:$C,3,FALSE),IFERROR(VLOOKUP(C47,파스텍EziServo규격!$A:$B,2,FALSE),""))</f>
        <v/>
      </c>
      <c r="F47" s="50" t="n">
        <v>1</v>
      </c>
      <c r="G47" s="50" t="n">
        <v>1</v>
      </c>
      <c r="H47" s="50" t="n">
        <v>1</v>
      </c>
      <c r="I47" s="50" t="n">
        <v>1</v>
      </c>
      <c r="J47" s="51">
        <f>IF(E47="","",ROUND(E47*$H$2,3))</f>
        <v/>
      </c>
      <c r="K47" s="50" t="inlineStr">
        <is>
          <t>●</t>
        </is>
      </c>
      <c r="L47" s="50" t="inlineStr"/>
      <c r="M47" s="50" t="inlineStr"/>
      <c r="N47" s="50" t="inlineStr"/>
      <c r="O47" s="52" t="n"/>
      <c r="P47" s="52" t="n"/>
      <c r="Q47" s="53" t="inlineStr"/>
    </row>
    <row r="48" ht="17" customHeight="1">
      <c r="A48" s="46" t="inlineStr">
        <is>
          <t>판넬2</t>
        </is>
      </c>
      <c r="B48" s="47" t="inlineStr">
        <is>
          <t>TURN_GRIPPER_X1</t>
        </is>
      </c>
      <c r="C48" s="47" t="inlineStr">
        <is>
          <t>MADLN15BE</t>
        </is>
      </c>
      <c r="D48" s="48">
        <f>IFERROR(VLOOKUP(C48,파나소닉A6규격!$A:$B,2,FALSE),"")</f>
        <v/>
      </c>
      <c r="E48" s="49">
        <f>IFERROR(VLOOKUP(C48,파나소닉A6규격!$A:$C,3,FALSE),IFERROR(VLOOKUP(C48,파스텍EziServo규격!$A:$B,2,FALSE),""))</f>
        <v/>
      </c>
      <c r="F48" s="50" t="n">
        <v>1</v>
      </c>
      <c r="G48" s="50" t="n">
        <v>1</v>
      </c>
      <c r="H48" s="50" t="n">
        <v>1</v>
      </c>
      <c r="I48" s="50" t="n">
        <v>1</v>
      </c>
      <c r="J48" s="51">
        <f>IF(E48="","",ROUND(E48*$H$2,3))</f>
        <v/>
      </c>
      <c r="K48" s="50" t="inlineStr">
        <is>
          <t>●</t>
        </is>
      </c>
      <c r="L48" s="50" t="inlineStr"/>
      <c r="M48" s="50" t="inlineStr"/>
      <c r="N48" s="50" t="inlineStr"/>
      <c r="O48" s="52" t="n"/>
      <c r="P48" s="52" t="n"/>
      <c r="Q48" s="53" t="inlineStr"/>
    </row>
    <row r="49" ht="17" customHeight="1">
      <c r="A49" s="46" t="inlineStr">
        <is>
          <t>판넬2</t>
        </is>
      </c>
      <c r="B49" s="47" t="inlineStr">
        <is>
          <t>TURN_GRIPPER_Z1</t>
        </is>
      </c>
      <c r="C49" s="47" t="inlineStr">
        <is>
          <t>MADLN05BE</t>
        </is>
      </c>
      <c r="D49" s="48">
        <f>IFERROR(VLOOKUP(C49,파나소닉A6규격!$A:$B,2,FALSE),"")</f>
        <v/>
      </c>
      <c r="E49" s="49">
        <f>IFERROR(VLOOKUP(C49,파나소닉A6규격!$A:$C,3,FALSE),IFERROR(VLOOKUP(C49,파스텍EziServo규격!$A:$B,2,FALSE),""))</f>
        <v/>
      </c>
      <c r="F49" s="50" t="n">
        <v>1</v>
      </c>
      <c r="G49" s="50" t="n">
        <v>1</v>
      </c>
      <c r="H49" s="50" t="n">
        <v>1</v>
      </c>
      <c r="I49" s="50" t="n">
        <v>1</v>
      </c>
      <c r="J49" s="51">
        <f>IF(E49="","",ROUND(E49*$H$2,3))</f>
        <v/>
      </c>
      <c r="K49" s="50" t="inlineStr">
        <is>
          <t>●</t>
        </is>
      </c>
      <c r="L49" s="50" t="inlineStr"/>
      <c r="M49" s="50" t="inlineStr"/>
      <c r="N49" s="50" t="inlineStr"/>
      <c r="O49" s="52" t="n"/>
      <c r="P49" s="52" t="n"/>
      <c r="Q49" s="53" t="inlineStr"/>
    </row>
    <row r="50" ht="17" customHeight="1">
      <c r="A50" s="46" t="inlineStr">
        <is>
          <t>판넬2</t>
        </is>
      </c>
      <c r="B50" s="47" t="inlineStr">
        <is>
          <t>TURN_GRIPPER_Y2</t>
        </is>
      </c>
      <c r="C50" s="47" t="inlineStr">
        <is>
          <t>MADLN15BE</t>
        </is>
      </c>
      <c r="D50" s="48">
        <f>IFERROR(VLOOKUP(C50,파나소닉A6규격!$A:$B,2,FALSE),"")</f>
        <v/>
      </c>
      <c r="E50" s="49">
        <f>IFERROR(VLOOKUP(C50,파나소닉A6규격!$A:$C,3,FALSE),IFERROR(VLOOKUP(C50,파스텍EziServo규격!$A:$B,2,FALSE),""))</f>
        <v/>
      </c>
      <c r="F50" s="50" t="n">
        <v>1</v>
      </c>
      <c r="G50" s="50" t="n">
        <v>1</v>
      </c>
      <c r="H50" s="50" t="n">
        <v>1</v>
      </c>
      <c r="I50" s="50" t="n">
        <v>1</v>
      </c>
      <c r="J50" s="51">
        <f>IF(E50="","",ROUND(E50*$H$2,3))</f>
        <v/>
      </c>
      <c r="K50" s="50" t="inlineStr">
        <is>
          <t>●</t>
        </is>
      </c>
      <c r="L50" s="50" t="inlineStr"/>
      <c r="M50" s="50" t="inlineStr"/>
      <c r="N50" s="50" t="inlineStr"/>
      <c r="O50" s="52" t="n"/>
      <c r="P50" s="52" t="n"/>
      <c r="Q50" s="53" t="inlineStr"/>
    </row>
    <row r="51" ht="17" customHeight="1">
      <c r="A51" s="46" t="inlineStr">
        <is>
          <t>판넬2</t>
        </is>
      </c>
      <c r="B51" s="47" t="inlineStr">
        <is>
          <t>TURN_GRIPPER_X2</t>
        </is>
      </c>
      <c r="C51" s="47" t="inlineStr">
        <is>
          <t>MADLN15BE</t>
        </is>
      </c>
      <c r="D51" s="48">
        <f>IFERROR(VLOOKUP(C51,파나소닉A6규격!$A:$B,2,FALSE),"")</f>
        <v/>
      </c>
      <c r="E51" s="49">
        <f>IFERROR(VLOOKUP(C51,파나소닉A6규격!$A:$C,3,FALSE),IFERROR(VLOOKUP(C51,파스텍EziServo규격!$A:$B,2,FALSE),""))</f>
        <v/>
      </c>
      <c r="F51" s="50" t="n">
        <v>1</v>
      </c>
      <c r="G51" s="50" t="n">
        <v>1</v>
      </c>
      <c r="H51" s="50" t="n">
        <v>1</v>
      </c>
      <c r="I51" s="50" t="n">
        <v>1</v>
      </c>
      <c r="J51" s="51">
        <f>IF(E51="","",ROUND(E51*$H$2,3))</f>
        <v/>
      </c>
      <c r="K51" s="50" t="inlineStr">
        <is>
          <t>●</t>
        </is>
      </c>
      <c r="L51" s="50" t="inlineStr"/>
      <c r="M51" s="50" t="inlineStr"/>
      <c r="N51" s="50" t="inlineStr"/>
      <c r="O51" s="52" t="n"/>
      <c r="P51" s="52" t="n"/>
      <c r="Q51" s="53" t="inlineStr"/>
    </row>
    <row r="52" ht="17" customHeight="1">
      <c r="A52" s="46" t="inlineStr">
        <is>
          <t>판넬2</t>
        </is>
      </c>
      <c r="B52" s="47" t="inlineStr">
        <is>
          <t>TURN_GRIPPER_Z2</t>
        </is>
      </c>
      <c r="C52" s="47" t="inlineStr">
        <is>
          <t>MADLN05BE</t>
        </is>
      </c>
      <c r="D52" s="48">
        <f>IFERROR(VLOOKUP(C52,파나소닉A6규격!$A:$B,2,FALSE),"")</f>
        <v/>
      </c>
      <c r="E52" s="49">
        <f>IFERROR(VLOOKUP(C52,파나소닉A6규격!$A:$C,3,FALSE),IFERROR(VLOOKUP(C52,파스텍EziServo규격!$A:$B,2,FALSE),""))</f>
        <v/>
      </c>
      <c r="F52" s="50" t="n">
        <v>1</v>
      </c>
      <c r="G52" s="50" t="n">
        <v>1</v>
      </c>
      <c r="H52" s="50" t="n">
        <v>1</v>
      </c>
      <c r="I52" s="50" t="n">
        <v>1</v>
      </c>
      <c r="J52" s="51">
        <f>IF(E52="","",ROUND(E52*$H$2,3))</f>
        <v/>
      </c>
      <c r="K52" s="50" t="inlineStr">
        <is>
          <t>●</t>
        </is>
      </c>
      <c r="L52" s="50" t="inlineStr"/>
      <c r="M52" s="50" t="inlineStr"/>
      <c r="N52" s="50" t="inlineStr"/>
      <c r="O52" s="52" t="n"/>
      <c r="P52" s="52" t="n"/>
      <c r="Q52" s="53" t="inlineStr"/>
    </row>
    <row r="53" ht="17" customHeight="1">
      <c r="A53" s="46" t="inlineStr">
        <is>
          <t>판넬2</t>
        </is>
      </c>
      <c r="B53" s="47" t="inlineStr">
        <is>
          <t>BOT_MAC_Y</t>
        </is>
      </c>
      <c r="C53" s="47" t="inlineStr">
        <is>
          <t>MADLN15BE</t>
        </is>
      </c>
      <c r="D53" s="48">
        <f>IFERROR(VLOOKUP(C53,파나소닉A6규격!$A:$B,2,FALSE),"")</f>
        <v/>
      </c>
      <c r="E53" s="49">
        <f>IFERROR(VLOOKUP(C53,파나소닉A6규격!$A:$C,3,FALSE),IFERROR(VLOOKUP(C53,파스텍EziServo규격!$A:$B,2,FALSE),""))</f>
        <v/>
      </c>
      <c r="F53" s="50" t="n">
        <v>1</v>
      </c>
      <c r="G53" s="50" t="n">
        <v>1</v>
      </c>
      <c r="H53" s="50" t="n">
        <v>1</v>
      </c>
      <c r="I53" s="50" t="n">
        <v>1</v>
      </c>
      <c r="J53" s="51">
        <f>IF(E53="","",ROUND(E53*$H$2,3))</f>
        <v/>
      </c>
      <c r="K53" s="50" t="inlineStr">
        <is>
          <t>●</t>
        </is>
      </c>
      <c r="L53" s="50" t="inlineStr"/>
      <c r="M53" s="50" t="inlineStr"/>
      <c r="N53" s="50" t="inlineStr"/>
      <c r="O53" s="52" t="n"/>
      <c r="P53" s="52" t="n"/>
      <c r="Q53" s="53" t="inlineStr"/>
    </row>
    <row r="54" ht="18" customHeight="1">
      <c r="A54" s="31" t="inlineStr">
        <is>
          <t xml:space="preserve">  ▶ 판넬 2 합계</t>
        </is>
      </c>
      <c r="D54" s="32" t="n"/>
      <c r="E54" s="33">
        <f>SUM(E41:E53)</f>
        <v/>
      </c>
      <c r="F54" s="32" t="n"/>
      <c r="G54" s="32" t="n"/>
      <c r="H54" s="32" t="n"/>
      <c r="I54" s="32" t="n"/>
      <c r="J54" s="33">
        <f>SUM(J41:J53)</f>
        <v/>
      </c>
      <c r="K54" s="32" t="n"/>
      <c r="L54" s="32" t="n"/>
      <c r="M54" s="32" t="n"/>
      <c r="N54" s="32" t="n"/>
      <c r="O54" s="34" t="n">
        <v>15</v>
      </c>
      <c r="P54" s="35" t="inlineStr">
        <is>
          <t>LS ABN15c</t>
        </is>
      </c>
      <c r="Q54" s="36">
        <f>TEXT(J54,"0.00")&amp;"A×안전계수("&amp;$F$2&amp;")="&amp;TEXT(J54*$F$2,"0.00")&amp;"A → 15A 선정"</f>
        <v/>
      </c>
    </row>
    <row r="55" ht="14" customHeight="1">
      <c r="A55" s="37" t="inlineStr">
        <is>
          <t>판넬</t>
        </is>
      </c>
      <c r="B55" s="37" t="inlineStr">
        <is>
          <t>축/유닛명</t>
        </is>
      </c>
      <c r="C55" s="37" t="inlineStr">
        <is>
          <t>드라이버/장치 모델</t>
        </is>
      </c>
      <c r="D55" s="37" t="inlineStr">
        <is>
          <t>출력W[자동]</t>
        </is>
      </c>
      <c r="E55" s="37" t="inlineStr">
        <is>
          <t>정격전류[자동]</t>
        </is>
      </c>
      <c r="F55" s="37" t="inlineStr">
        <is>
          <t>상수</t>
        </is>
      </c>
      <c r="G55" s="37" t="inlineStr">
        <is>
          <t>R상</t>
        </is>
      </c>
      <c r="H55" s="37" t="inlineStr">
        <is>
          <t>S상</t>
        </is>
      </c>
      <c r="I55" s="37" t="inlineStr">
        <is>
          <t>T상</t>
        </is>
      </c>
      <c r="J55" s="37" t="inlineStr">
        <is>
          <t>설계전류(×수용률)</t>
        </is>
      </c>
      <c r="K55" s="37" t="inlineStr">
        <is>
          <t>AC3상</t>
        </is>
      </c>
      <c r="L55" s="37" t="inlineStr">
        <is>
          <t>AC단상</t>
        </is>
      </c>
      <c r="M55" s="37" t="inlineStr">
        <is>
          <t>DC24V</t>
        </is>
      </c>
      <c r="N55" s="37" t="inlineStr">
        <is>
          <t>기타</t>
        </is>
      </c>
      <c r="O55" s="37" t="inlineStr">
        <is>
          <t>권장차단기</t>
        </is>
      </c>
      <c r="P55" s="37" t="inlineStr">
        <is>
          <t>제조사/모델</t>
        </is>
      </c>
      <c r="Q55" s="37" t="inlineStr">
        <is>
          <t>비고</t>
        </is>
      </c>
    </row>
    <row r="56" ht="18" customHeight="1">
      <c r="A56" s="23" t="inlineStr">
        <is>
          <t>■ 판넬 3 — AC 3상 서보드라이버 (파나소닉 A6)</t>
        </is>
      </c>
    </row>
    <row r="57" ht="17" customHeight="1">
      <c r="A57" s="24" t="inlineStr">
        <is>
          <t>판넬3</t>
        </is>
      </c>
      <c r="B57" s="25" t="inlineStr">
        <is>
          <t>BOT_MAC_X</t>
        </is>
      </c>
      <c r="C57" s="25" t="inlineStr">
        <is>
          <t>MADLN15BE</t>
        </is>
      </c>
      <c r="D57" s="26">
        <f>IFERROR(VLOOKUP(C57,파나소닉A6규격!$A:$B,2,FALSE),"")</f>
        <v/>
      </c>
      <c r="E57" s="27">
        <f>IFERROR(VLOOKUP(C57,파나소닉A6규격!$A:$C,3,FALSE),IFERROR(VLOOKUP(C57,파스텍EziServo규격!$A:$B,2,FALSE),""))</f>
        <v/>
      </c>
      <c r="F57" s="9" t="n">
        <v>1</v>
      </c>
      <c r="G57" s="9" t="n">
        <v>1</v>
      </c>
      <c r="H57" s="9" t="n">
        <v>1</v>
      </c>
      <c r="I57" s="9" t="n">
        <v>1</v>
      </c>
      <c r="J57" s="28">
        <f>IF(E57="","",ROUND(E57*$H$2,3))</f>
        <v/>
      </c>
      <c r="K57" s="9" t="inlineStr">
        <is>
          <t>●</t>
        </is>
      </c>
      <c r="L57" s="9" t="inlineStr"/>
      <c r="M57" s="9" t="inlineStr"/>
      <c r="N57" s="9" t="inlineStr"/>
      <c r="O57" s="29" t="n"/>
      <c r="P57" s="29" t="n"/>
      <c r="Q57" s="30" t="inlineStr"/>
    </row>
    <row r="58" ht="17" customHeight="1">
      <c r="A58" s="24" t="inlineStr">
        <is>
          <t>판넬3</t>
        </is>
      </c>
      <c r="B58" s="25" t="inlineStr">
        <is>
          <t>BOT_MAC_Z</t>
        </is>
      </c>
      <c r="C58" s="25" t="inlineStr">
        <is>
          <t>MADLN05BE</t>
        </is>
      </c>
      <c r="D58" s="26">
        <f>IFERROR(VLOOKUP(C58,파나소닉A6규격!$A:$B,2,FALSE),"")</f>
        <v/>
      </c>
      <c r="E58" s="27">
        <f>IFERROR(VLOOKUP(C58,파나소닉A6규격!$A:$C,3,FALSE),IFERROR(VLOOKUP(C58,파스텍EziServo규격!$A:$B,2,FALSE),""))</f>
        <v/>
      </c>
      <c r="F58" s="9" t="n">
        <v>1</v>
      </c>
      <c r="G58" s="9" t="n">
        <v>1</v>
      </c>
      <c r="H58" s="9" t="n">
        <v>1</v>
      </c>
      <c r="I58" s="9" t="n">
        <v>1</v>
      </c>
      <c r="J58" s="28">
        <f>IF(E58="","",ROUND(E58*$H$2,3))</f>
        <v/>
      </c>
      <c r="K58" s="9" t="inlineStr">
        <is>
          <t>●</t>
        </is>
      </c>
      <c r="L58" s="9" t="inlineStr"/>
      <c r="M58" s="9" t="inlineStr"/>
      <c r="N58" s="9" t="inlineStr"/>
      <c r="O58" s="29" t="n"/>
      <c r="P58" s="29" t="n"/>
      <c r="Q58" s="30" t="inlineStr"/>
    </row>
    <row r="59" ht="17" customHeight="1">
      <c r="A59" s="24" t="inlineStr">
        <is>
          <t>판넬3</t>
        </is>
      </c>
      <c r="B59" s="25" t="inlineStr">
        <is>
          <t>BOT_MIC_Y</t>
        </is>
      </c>
      <c r="C59" s="25" t="inlineStr">
        <is>
          <t>MADLN15BE</t>
        </is>
      </c>
      <c r="D59" s="26">
        <f>IFERROR(VLOOKUP(C59,파나소닉A6규격!$A:$B,2,FALSE),"")</f>
        <v/>
      </c>
      <c r="E59" s="27">
        <f>IFERROR(VLOOKUP(C59,파나소닉A6규격!$A:$C,3,FALSE),IFERROR(VLOOKUP(C59,파스텍EziServo규격!$A:$B,2,FALSE),""))</f>
        <v/>
      </c>
      <c r="F59" s="9" t="n">
        <v>1</v>
      </c>
      <c r="G59" s="9" t="n">
        <v>1</v>
      </c>
      <c r="H59" s="9" t="n">
        <v>1</v>
      </c>
      <c r="I59" s="9" t="n">
        <v>1</v>
      </c>
      <c r="J59" s="28">
        <f>IF(E59="","",ROUND(E59*$H$2,3))</f>
        <v/>
      </c>
      <c r="K59" s="9" t="inlineStr">
        <is>
          <t>●</t>
        </is>
      </c>
      <c r="L59" s="9" t="inlineStr"/>
      <c r="M59" s="9" t="inlineStr"/>
      <c r="N59" s="9" t="inlineStr"/>
      <c r="O59" s="29" t="n"/>
      <c r="P59" s="29" t="n"/>
      <c r="Q59" s="30" t="inlineStr"/>
    </row>
    <row r="60" ht="17" customHeight="1">
      <c r="A60" s="24" t="inlineStr">
        <is>
          <t>판넬3</t>
        </is>
      </c>
      <c r="B60" s="25" t="inlineStr">
        <is>
          <t>BOT_MIC_X</t>
        </is>
      </c>
      <c r="C60" s="25" t="inlineStr">
        <is>
          <t>MADLN15BE</t>
        </is>
      </c>
      <c r="D60" s="26">
        <f>IFERROR(VLOOKUP(C60,파나소닉A6규격!$A:$B,2,FALSE),"")</f>
        <v/>
      </c>
      <c r="E60" s="27">
        <f>IFERROR(VLOOKUP(C60,파나소닉A6규격!$A:$C,3,FALSE),IFERROR(VLOOKUP(C60,파스텍EziServo규격!$A:$B,2,FALSE),""))</f>
        <v/>
      </c>
      <c r="F60" s="9" t="n">
        <v>1</v>
      </c>
      <c r="G60" s="9" t="n">
        <v>1</v>
      </c>
      <c r="H60" s="9" t="n">
        <v>1</v>
      </c>
      <c r="I60" s="9" t="n">
        <v>1</v>
      </c>
      <c r="J60" s="28">
        <f>IF(E60="","",ROUND(E60*$H$2,3))</f>
        <v/>
      </c>
      <c r="K60" s="9" t="inlineStr">
        <is>
          <t>●</t>
        </is>
      </c>
      <c r="L60" s="9" t="inlineStr"/>
      <c r="M60" s="9" t="inlineStr"/>
      <c r="N60" s="9" t="inlineStr"/>
      <c r="O60" s="29" t="n"/>
      <c r="P60" s="29" t="n"/>
      <c r="Q60" s="30" t="inlineStr"/>
    </row>
    <row r="61" ht="17" customHeight="1">
      <c r="A61" s="24" t="inlineStr">
        <is>
          <t>판넬3</t>
        </is>
      </c>
      <c r="B61" s="25" t="inlineStr">
        <is>
          <t>BOT_MIC_Z</t>
        </is>
      </c>
      <c r="C61" s="25" t="inlineStr">
        <is>
          <t>MADLN05BE</t>
        </is>
      </c>
      <c r="D61" s="26">
        <f>IFERROR(VLOOKUP(C61,파나소닉A6규격!$A:$B,2,FALSE),"")</f>
        <v/>
      </c>
      <c r="E61" s="27">
        <f>IFERROR(VLOOKUP(C61,파나소닉A6규격!$A:$C,3,FALSE),IFERROR(VLOOKUP(C61,파스텍EziServo규격!$A:$B,2,FALSE),""))</f>
        <v/>
      </c>
      <c r="F61" s="9" t="n">
        <v>1</v>
      </c>
      <c r="G61" s="9" t="n">
        <v>1</v>
      </c>
      <c r="H61" s="9" t="n">
        <v>1</v>
      </c>
      <c r="I61" s="9" t="n">
        <v>1</v>
      </c>
      <c r="J61" s="28">
        <f>IF(E61="","",ROUND(E61*$H$2,3))</f>
        <v/>
      </c>
      <c r="K61" s="9" t="inlineStr">
        <is>
          <t>●</t>
        </is>
      </c>
      <c r="L61" s="9" t="inlineStr"/>
      <c r="M61" s="9" t="inlineStr"/>
      <c r="N61" s="9" t="inlineStr"/>
      <c r="O61" s="29" t="n"/>
      <c r="P61" s="29" t="n"/>
      <c r="Q61" s="30" t="inlineStr"/>
    </row>
    <row r="62" ht="17" customHeight="1">
      <c r="A62" s="24" t="inlineStr">
        <is>
          <t>판넬3</t>
        </is>
      </c>
      <c r="B62" s="25" t="inlineStr">
        <is>
          <t>LO_ATC_X</t>
        </is>
      </c>
      <c r="C62" s="25" t="inlineStr">
        <is>
          <t>MADLN15BE</t>
        </is>
      </c>
      <c r="D62" s="26">
        <f>IFERROR(VLOOKUP(C62,파나소닉A6규격!$A:$B,2,FALSE),"")</f>
        <v/>
      </c>
      <c r="E62" s="27">
        <f>IFERROR(VLOOKUP(C62,파나소닉A6규격!$A:$C,3,FALSE),IFERROR(VLOOKUP(C62,파스텍EziServo규격!$A:$B,2,FALSE),""))</f>
        <v/>
      </c>
      <c r="F62" s="9" t="n">
        <v>1</v>
      </c>
      <c r="G62" s="9" t="n">
        <v>1</v>
      </c>
      <c r="H62" s="9" t="n">
        <v>1</v>
      </c>
      <c r="I62" s="9" t="n">
        <v>1</v>
      </c>
      <c r="J62" s="28">
        <f>IF(E62="","",ROUND(E62*$H$2,3))</f>
        <v/>
      </c>
      <c r="K62" s="9" t="inlineStr">
        <is>
          <t>●</t>
        </is>
      </c>
      <c r="L62" s="9" t="inlineStr"/>
      <c r="M62" s="9" t="inlineStr"/>
      <c r="N62" s="9" t="inlineStr"/>
      <c r="O62" s="29" t="n"/>
      <c r="P62" s="29" t="n"/>
      <c r="Q62" s="30" t="inlineStr"/>
    </row>
    <row r="63" ht="17" customHeight="1">
      <c r="A63" s="24" t="inlineStr">
        <is>
          <t>판넬3</t>
        </is>
      </c>
      <c r="B63" s="25" t="inlineStr">
        <is>
          <t>LO_ATC_Z</t>
        </is>
      </c>
      <c r="C63" s="25" t="inlineStr">
        <is>
          <t>MADLN15BE</t>
        </is>
      </c>
      <c r="D63" s="26">
        <f>IFERROR(VLOOKUP(C63,파나소닉A6규격!$A:$B,2,FALSE),"")</f>
        <v/>
      </c>
      <c r="E63" s="27">
        <f>IFERROR(VLOOKUP(C63,파나소닉A6규격!$A:$C,3,FALSE),IFERROR(VLOOKUP(C63,파스텍EziServo규격!$A:$B,2,FALSE),""))</f>
        <v/>
      </c>
      <c r="F63" s="9" t="n">
        <v>1</v>
      </c>
      <c r="G63" s="9" t="n">
        <v>1</v>
      </c>
      <c r="H63" s="9" t="n">
        <v>1</v>
      </c>
      <c r="I63" s="9" t="n">
        <v>1</v>
      </c>
      <c r="J63" s="28">
        <f>IF(E63="","",ROUND(E63*$H$2,3))</f>
        <v/>
      </c>
      <c r="K63" s="9" t="inlineStr">
        <is>
          <t>●</t>
        </is>
      </c>
      <c r="L63" s="9" t="inlineStr"/>
      <c r="M63" s="9" t="inlineStr"/>
      <c r="N63" s="9" t="inlineStr"/>
      <c r="O63" s="29" t="n"/>
      <c r="P63" s="29" t="n"/>
      <c r="Q63" s="30" t="inlineStr"/>
    </row>
    <row r="64" ht="17" customHeight="1">
      <c r="A64" s="24" t="inlineStr">
        <is>
          <t>판넬3</t>
        </is>
      </c>
      <c r="B64" s="25" t="inlineStr">
        <is>
          <t>SIDE_X1</t>
        </is>
      </c>
      <c r="C64" s="25" t="inlineStr">
        <is>
          <t>MADLN05BE</t>
        </is>
      </c>
      <c r="D64" s="26">
        <f>IFERROR(VLOOKUP(C64,파나소닉A6규격!$A:$B,2,FALSE),"")</f>
        <v/>
      </c>
      <c r="E64" s="27">
        <f>IFERROR(VLOOKUP(C64,파나소닉A6규격!$A:$C,3,FALSE),IFERROR(VLOOKUP(C64,파스텍EziServo규격!$A:$B,2,FALSE),""))</f>
        <v/>
      </c>
      <c r="F64" s="9" t="n">
        <v>1</v>
      </c>
      <c r="G64" s="9" t="n">
        <v>1</v>
      </c>
      <c r="H64" s="9" t="n">
        <v>1</v>
      </c>
      <c r="I64" s="9" t="n">
        <v>1</v>
      </c>
      <c r="J64" s="28">
        <f>IF(E64="","",ROUND(E64*$H$2,3))</f>
        <v/>
      </c>
      <c r="K64" s="9" t="inlineStr">
        <is>
          <t>●</t>
        </is>
      </c>
      <c r="L64" s="9" t="inlineStr"/>
      <c r="M64" s="9" t="inlineStr"/>
      <c r="N64" s="9" t="inlineStr"/>
      <c r="O64" s="29" t="n"/>
      <c r="P64" s="29" t="n"/>
      <c r="Q64" s="30" t="inlineStr"/>
    </row>
    <row r="65" ht="17" customHeight="1">
      <c r="A65" s="24" t="inlineStr">
        <is>
          <t>판넬3</t>
        </is>
      </c>
      <c r="B65" s="25" t="inlineStr">
        <is>
          <t>SIDE_Y1</t>
        </is>
      </c>
      <c r="C65" s="25" t="inlineStr">
        <is>
          <t>MADLN15BE</t>
        </is>
      </c>
      <c r="D65" s="26">
        <f>IFERROR(VLOOKUP(C65,파나소닉A6규격!$A:$B,2,FALSE),"")</f>
        <v/>
      </c>
      <c r="E65" s="27">
        <f>IFERROR(VLOOKUP(C65,파나소닉A6규격!$A:$C,3,FALSE),IFERROR(VLOOKUP(C65,파스텍EziServo규격!$A:$B,2,FALSE),""))</f>
        <v/>
      </c>
      <c r="F65" s="9" t="n">
        <v>1</v>
      </c>
      <c r="G65" s="9" t="n">
        <v>1</v>
      </c>
      <c r="H65" s="9" t="n">
        <v>1</v>
      </c>
      <c r="I65" s="9" t="n">
        <v>1</v>
      </c>
      <c r="J65" s="28">
        <f>IF(E65="","",ROUND(E65*$H$2,3))</f>
        <v/>
      </c>
      <c r="K65" s="9" t="inlineStr">
        <is>
          <t>●</t>
        </is>
      </c>
      <c r="L65" s="9" t="inlineStr"/>
      <c r="M65" s="9" t="inlineStr"/>
      <c r="N65" s="9" t="inlineStr"/>
      <c r="O65" s="29" t="n"/>
      <c r="P65" s="29" t="n"/>
      <c r="Q65" s="30" t="inlineStr"/>
    </row>
    <row r="66" ht="17" customHeight="1">
      <c r="A66" s="24" t="inlineStr">
        <is>
          <t>판넬3</t>
        </is>
      </c>
      <c r="B66" s="25" t="inlineStr">
        <is>
          <t>SIDE_T1</t>
        </is>
      </c>
      <c r="C66" s="25" t="inlineStr">
        <is>
          <t>MADLN05BE</t>
        </is>
      </c>
      <c r="D66" s="26">
        <f>IFERROR(VLOOKUP(C66,파나소닉A6규격!$A:$B,2,FALSE),"")</f>
        <v/>
      </c>
      <c r="E66" s="27">
        <f>IFERROR(VLOOKUP(C66,파나소닉A6규격!$A:$C,3,FALSE),IFERROR(VLOOKUP(C66,파스텍EziServo규격!$A:$B,2,FALSE),""))</f>
        <v/>
      </c>
      <c r="F66" s="9" t="n">
        <v>1</v>
      </c>
      <c r="G66" s="9" t="n">
        <v>1</v>
      </c>
      <c r="H66" s="9" t="n">
        <v>1</v>
      </c>
      <c r="I66" s="9" t="n">
        <v>1</v>
      </c>
      <c r="J66" s="28">
        <f>IF(E66="","",ROUND(E66*$H$2,3))</f>
        <v/>
      </c>
      <c r="K66" s="9" t="inlineStr">
        <is>
          <t>●</t>
        </is>
      </c>
      <c r="L66" s="9" t="inlineStr"/>
      <c r="M66" s="9" t="inlineStr"/>
      <c r="N66" s="9" t="inlineStr"/>
      <c r="O66" s="29" t="n"/>
      <c r="P66" s="29" t="n"/>
      <c r="Q66" s="30" t="inlineStr"/>
    </row>
    <row r="67" ht="17" customHeight="1">
      <c r="A67" s="24" t="inlineStr">
        <is>
          <t>판넬3</t>
        </is>
      </c>
      <c r="B67" s="25" t="inlineStr">
        <is>
          <t>SIDE_X2</t>
        </is>
      </c>
      <c r="C67" s="25" t="inlineStr">
        <is>
          <t>MADLN05BE</t>
        </is>
      </c>
      <c r="D67" s="26">
        <f>IFERROR(VLOOKUP(C67,파나소닉A6규격!$A:$B,2,FALSE),"")</f>
        <v/>
      </c>
      <c r="E67" s="27">
        <f>IFERROR(VLOOKUP(C67,파나소닉A6규격!$A:$C,3,FALSE),IFERROR(VLOOKUP(C67,파스텍EziServo규격!$A:$B,2,FALSE),""))</f>
        <v/>
      </c>
      <c r="F67" s="9" t="n">
        <v>1</v>
      </c>
      <c r="G67" s="9" t="n">
        <v>1</v>
      </c>
      <c r="H67" s="9" t="n">
        <v>1</v>
      </c>
      <c r="I67" s="9" t="n">
        <v>1</v>
      </c>
      <c r="J67" s="28">
        <f>IF(E67="","",ROUND(E67*$H$2,3))</f>
        <v/>
      </c>
      <c r="K67" s="9" t="inlineStr">
        <is>
          <t>●</t>
        </is>
      </c>
      <c r="L67" s="9" t="inlineStr"/>
      <c r="M67" s="9" t="inlineStr"/>
      <c r="N67" s="9" t="inlineStr"/>
      <c r="O67" s="29" t="n"/>
      <c r="P67" s="29" t="n"/>
      <c r="Q67" s="30" t="inlineStr"/>
    </row>
    <row r="68" ht="17" customHeight="1">
      <c r="A68" s="24" t="inlineStr">
        <is>
          <t>판넬3</t>
        </is>
      </c>
      <c r="B68" s="25" t="inlineStr">
        <is>
          <t>SIDE_Y2</t>
        </is>
      </c>
      <c r="C68" s="25" t="inlineStr">
        <is>
          <t>MADLN15BE</t>
        </is>
      </c>
      <c r="D68" s="26">
        <f>IFERROR(VLOOKUP(C68,파나소닉A6규격!$A:$B,2,FALSE),"")</f>
        <v/>
      </c>
      <c r="E68" s="27">
        <f>IFERROR(VLOOKUP(C68,파나소닉A6규격!$A:$C,3,FALSE),IFERROR(VLOOKUP(C68,파스텍EziServo규격!$A:$B,2,FALSE),""))</f>
        <v/>
      </c>
      <c r="F68" s="9" t="n">
        <v>1</v>
      </c>
      <c r="G68" s="9" t="n">
        <v>1</v>
      </c>
      <c r="H68" s="9" t="n">
        <v>1</v>
      </c>
      <c r="I68" s="9" t="n">
        <v>1</v>
      </c>
      <c r="J68" s="28">
        <f>IF(E68="","",ROUND(E68*$H$2,3))</f>
        <v/>
      </c>
      <c r="K68" s="9" t="inlineStr">
        <is>
          <t>●</t>
        </is>
      </c>
      <c r="L68" s="9" t="inlineStr"/>
      <c r="M68" s="9" t="inlineStr"/>
      <c r="N68" s="9" t="inlineStr"/>
      <c r="O68" s="29" t="n"/>
      <c r="P68" s="29" t="n"/>
      <c r="Q68" s="30" t="inlineStr"/>
    </row>
    <row r="69" ht="17" customHeight="1">
      <c r="A69" s="24" t="inlineStr">
        <is>
          <t>판넬3</t>
        </is>
      </c>
      <c r="B69" s="25" t="inlineStr">
        <is>
          <t>SIDE_T2</t>
        </is>
      </c>
      <c r="C69" s="25" t="inlineStr">
        <is>
          <t>MADLN05BE</t>
        </is>
      </c>
      <c r="D69" s="26">
        <f>IFERROR(VLOOKUP(C69,파나소닉A6규격!$A:$B,2,FALSE),"")</f>
        <v/>
      </c>
      <c r="E69" s="27">
        <f>IFERROR(VLOOKUP(C69,파나소닉A6규격!$A:$C,3,FALSE),IFERROR(VLOOKUP(C69,파스텍EziServo규격!$A:$B,2,FALSE),""))</f>
        <v/>
      </c>
      <c r="F69" s="9" t="n">
        <v>1</v>
      </c>
      <c r="G69" s="9" t="n">
        <v>1</v>
      </c>
      <c r="H69" s="9" t="n">
        <v>1</v>
      </c>
      <c r="I69" s="9" t="n">
        <v>1</v>
      </c>
      <c r="J69" s="28">
        <f>IF(E69="","",ROUND(E69*$H$2,3))</f>
        <v/>
      </c>
      <c r="K69" s="9" t="inlineStr">
        <is>
          <t>●</t>
        </is>
      </c>
      <c r="L69" s="9" t="inlineStr"/>
      <c r="M69" s="9" t="inlineStr"/>
      <c r="N69" s="9" t="inlineStr"/>
      <c r="O69" s="29" t="n"/>
      <c r="P69" s="29" t="n"/>
      <c r="Q69" s="30" t="inlineStr"/>
    </row>
    <row r="70" ht="17" customHeight="1">
      <c r="A70" s="24" t="inlineStr">
        <is>
          <t>판넬3</t>
        </is>
      </c>
      <c r="B70" s="25" t="inlineStr">
        <is>
          <t>SIDE_X3</t>
        </is>
      </c>
      <c r="C70" s="25" t="inlineStr">
        <is>
          <t>MADLN05BE</t>
        </is>
      </c>
      <c r="D70" s="26">
        <f>IFERROR(VLOOKUP(C70,파나소닉A6규격!$A:$B,2,FALSE),"")</f>
        <v/>
      </c>
      <c r="E70" s="27">
        <f>IFERROR(VLOOKUP(C70,파나소닉A6규격!$A:$C,3,FALSE),IFERROR(VLOOKUP(C70,파스텍EziServo규격!$A:$B,2,FALSE),""))</f>
        <v/>
      </c>
      <c r="F70" s="9" t="n">
        <v>1</v>
      </c>
      <c r="G70" s="9" t="n">
        <v>1</v>
      </c>
      <c r="H70" s="9" t="n">
        <v>1</v>
      </c>
      <c r="I70" s="9" t="n">
        <v>1</v>
      </c>
      <c r="J70" s="28">
        <f>IF(E70="","",ROUND(E70*$H$2,3))</f>
        <v/>
      </c>
      <c r="K70" s="9" t="inlineStr">
        <is>
          <t>●</t>
        </is>
      </c>
      <c r="L70" s="9" t="inlineStr"/>
      <c r="M70" s="9" t="inlineStr"/>
      <c r="N70" s="9" t="inlineStr"/>
      <c r="O70" s="29" t="n"/>
      <c r="P70" s="29" t="n"/>
      <c r="Q70" s="30" t="inlineStr"/>
    </row>
    <row r="71" ht="17" customHeight="1">
      <c r="A71" s="24" t="inlineStr">
        <is>
          <t>판넬3</t>
        </is>
      </c>
      <c r="B71" s="25" t="inlineStr">
        <is>
          <t>SIDE_Y3</t>
        </is>
      </c>
      <c r="C71" s="25" t="inlineStr">
        <is>
          <t>MADLN15BE</t>
        </is>
      </c>
      <c r="D71" s="26">
        <f>IFERROR(VLOOKUP(C71,파나소닉A6규격!$A:$B,2,FALSE),"")</f>
        <v/>
      </c>
      <c r="E71" s="27">
        <f>IFERROR(VLOOKUP(C71,파나소닉A6규격!$A:$C,3,FALSE),IFERROR(VLOOKUP(C71,파스텍EziServo규격!$A:$B,2,FALSE),""))</f>
        <v/>
      </c>
      <c r="F71" s="9" t="n">
        <v>1</v>
      </c>
      <c r="G71" s="9" t="n">
        <v>1</v>
      </c>
      <c r="H71" s="9" t="n">
        <v>1</v>
      </c>
      <c r="I71" s="9" t="n">
        <v>1</v>
      </c>
      <c r="J71" s="28">
        <f>IF(E71="","",ROUND(E71*$H$2,3))</f>
        <v/>
      </c>
      <c r="K71" s="9" t="inlineStr">
        <is>
          <t>●</t>
        </is>
      </c>
      <c r="L71" s="9" t="inlineStr"/>
      <c r="M71" s="9" t="inlineStr"/>
      <c r="N71" s="9" t="inlineStr"/>
      <c r="O71" s="29" t="n"/>
      <c r="P71" s="29" t="n"/>
      <c r="Q71" s="30" t="inlineStr"/>
    </row>
    <row r="72" ht="17" customHeight="1">
      <c r="A72" s="24" t="inlineStr">
        <is>
          <t>판넬3</t>
        </is>
      </c>
      <c r="B72" s="25" t="inlineStr">
        <is>
          <t>SIDE_T3</t>
        </is>
      </c>
      <c r="C72" s="25" t="inlineStr">
        <is>
          <t>MADLN05BE</t>
        </is>
      </c>
      <c r="D72" s="26">
        <f>IFERROR(VLOOKUP(C72,파나소닉A6규격!$A:$B,2,FALSE),"")</f>
        <v/>
      </c>
      <c r="E72" s="27">
        <f>IFERROR(VLOOKUP(C72,파나소닉A6규격!$A:$C,3,FALSE),IFERROR(VLOOKUP(C72,파스텍EziServo규격!$A:$B,2,FALSE),""))</f>
        <v/>
      </c>
      <c r="F72" s="9" t="n">
        <v>1</v>
      </c>
      <c r="G72" s="9" t="n">
        <v>1</v>
      </c>
      <c r="H72" s="9" t="n">
        <v>1</v>
      </c>
      <c r="I72" s="9" t="n">
        <v>1</v>
      </c>
      <c r="J72" s="28">
        <f>IF(E72="","",ROUND(E72*$H$2,3))</f>
        <v/>
      </c>
      <c r="K72" s="9" t="inlineStr">
        <is>
          <t>●</t>
        </is>
      </c>
      <c r="L72" s="9" t="inlineStr"/>
      <c r="M72" s="9" t="inlineStr"/>
      <c r="N72" s="9" t="inlineStr"/>
      <c r="O72" s="29" t="n"/>
      <c r="P72" s="29" t="n"/>
      <c r="Q72" s="30" t="inlineStr"/>
    </row>
    <row r="73" ht="17" customHeight="1">
      <c r="A73" s="24" t="inlineStr">
        <is>
          <t>판넬3</t>
        </is>
      </c>
      <c r="B73" s="25" t="inlineStr">
        <is>
          <t>LO_EV</t>
        </is>
      </c>
      <c r="C73" s="25" t="inlineStr">
        <is>
          <t>MCDLN35BE</t>
        </is>
      </c>
      <c r="D73" s="26">
        <f>IFERROR(VLOOKUP(C73,파나소닉A6규격!$A:$B,2,FALSE),"")</f>
        <v/>
      </c>
      <c r="E73" s="27">
        <f>IFERROR(VLOOKUP(C73,파나소닉A6규격!$A:$C,3,FALSE),IFERROR(VLOOKUP(C73,파스텍EziServo규격!$A:$B,2,FALSE),""))</f>
        <v/>
      </c>
      <c r="F73" s="9" t="n">
        <v>1</v>
      </c>
      <c r="G73" s="9" t="n">
        <v>1</v>
      </c>
      <c r="H73" s="9" t="n">
        <v>1</v>
      </c>
      <c r="I73" s="9" t="n">
        <v>1</v>
      </c>
      <c r="J73" s="28">
        <f>IF(E73="","",ROUND(E73*$H$2,3))</f>
        <v/>
      </c>
      <c r="K73" s="9" t="inlineStr">
        <is>
          <t>●</t>
        </is>
      </c>
      <c r="L73" s="9" t="inlineStr"/>
      <c r="M73" s="9" t="inlineStr"/>
      <c r="N73" s="9" t="inlineStr"/>
      <c r="O73" s="29" t="n"/>
      <c r="P73" s="29" t="n"/>
      <c r="Q73" s="30" t="inlineStr"/>
    </row>
    <row r="74" ht="17" customHeight="1">
      <c r="A74" s="24" t="inlineStr">
        <is>
          <t>판넬3</t>
        </is>
      </c>
      <c r="B74" s="25" t="inlineStr">
        <is>
          <t>LO_FD</t>
        </is>
      </c>
      <c r="C74" s="25" t="inlineStr">
        <is>
          <t>MADLN05BE</t>
        </is>
      </c>
      <c r="D74" s="26">
        <f>IFERROR(VLOOKUP(C74,파나소닉A6규격!$A:$B,2,FALSE),"")</f>
        <v/>
      </c>
      <c r="E74" s="27">
        <f>IFERROR(VLOOKUP(C74,파나소닉A6규격!$A:$C,3,FALSE),IFERROR(VLOOKUP(C74,파스텍EziServo규격!$A:$B,2,FALSE),""))</f>
        <v/>
      </c>
      <c r="F74" s="9" t="n">
        <v>1</v>
      </c>
      <c r="G74" s="9" t="n">
        <v>1</v>
      </c>
      <c r="H74" s="9" t="n">
        <v>1</v>
      </c>
      <c r="I74" s="9" t="n">
        <v>1</v>
      </c>
      <c r="J74" s="28">
        <f>IF(E74="","",ROUND(E74*$H$2,3))</f>
        <v/>
      </c>
      <c r="K74" s="9" t="inlineStr">
        <is>
          <t>●</t>
        </is>
      </c>
      <c r="L74" s="9" t="inlineStr"/>
      <c r="M74" s="9" t="inlineStr"/>
      <c r="N74" s="9" t="inlineStr"/>
      <c r="O74" s="29" t="n"/>
      <c r="P74" s="29" t="n"/>
      <c r="Q74" s="30" t="inlineStr"/>
    </row>
    <row r="75" ht="17" customHeight="1">
      <c r="A75" s="24" t="inlineStr">
        <is>
          <t>판넬3</t>
        </is>
      </c>
      <c r="B75" s="25" t="inlineStr">
        <is>
          <t>LO_FD_Z</t>
        </is>
      </c>
      <c r="C75" s="25" t="inlineStr">
        <is>
          <t>MBDLN25BE</t>
        </is>
      </c>
      <c r="D75" s="26">
        <f>IFERROR(VLOOKUP(C75,파나소닉A6규격!$A:$B,2,FALSE),"")</f>
        <v/>
      </c>
      <c r="E75" s="27">
        <f>IFERROR(VLOOKUP(C75,파나소닉A6규격!$A:$C,3,FALSE),IFERROR(VLOOKUP(C75,파스텍EziServo규격!$A:$B,2,FALSE),""))</f>
        <v/>
      </c>
      <c r="F75" s="9" t="n">
        <v>1</v>
      </c>
      <c r="G75" s="9" t="n">
        <v>1</v>
      </c>
      <c r="H75" s="9" t="n">
        <v>1</v>
      </c>
      <c r="I75" s="9" t="n">
        <v>1</v>
      </c>
      <c r="J75" s="28">
        <f>IF(E75="","",ROUND(E75*$H$2,3))</f>
        <v/>
      </c>
      <c r="K75" s="9" t="inlineStr">
        <is>
          <t>●</t>
        </is>
      </c>
      <c r="L75" s="9" t="inlineStr"/>
      <c r="M75" s="9" t="inlineStr"/>
      <c r="N75" s="9" t="inlineStr"/>
      <c r="O75" s="29" t="n"/>
      <c r="P75" s="29" t="n"/>
      <c r="Q75" s="30" t="inlineStr"/>
    </row>
    <row r="76" ht="17" customHeight="1">
      <c r="A76" s="24" t="inlineStr">
        <is>
          <t>판넬3</t>
        </is>
      </c>
      <c r="B76" s="25" t="inlineStr">
        <is>
          <t>LO_FD_ALIGN</t>
        </is>
      </c>
      <c r="C76" s="25" t="inlineStr">
        <is>
          <t>MADLN05BE</t>
        </is>
      </c>
      <c r="D76" s="26">
        <f>IFERROR(VLOOKUP(C76,파나소닉A6규격!$A:$B,2,FALSE),"")</f>
        <v/>
      </c>
      <c r="E76" s="27">
        <f>IFERROR(VLOOKUP(C76,파나소닉A6규격!$A:$C,3,FALSE),IFERROR(VLOOKUP(C76,파스텍EziServo규격!$A:$B,2,FALSE),""))</f>
        <v/>
      </c>
      <c r="F76" s="9" t="n">
        <v>1</v>
      </c>
      <c r="G76" s="9" t="n">
        <v>1</v>
      </c>
      <c r="H76" s="9" t="n">
        <v>1</v>
      </c>
      <c r="I76" s="9" t="n">
        <v>1</v>
      </c>
      <c r="J76" s="28">
        <f>IF(E76="","",ROUND(E76*$H$2,3))</f>
        <v/>
      </c>
      <c r="K76" s="9" t="inlineStr">
        <is>
          <t>●</t>
        </is>
      </c>
      <c r="L76" s="9" t="inlineStr"/>
      <c r="M76" s="9" t="inlineStr"/>
      <c r="N76" s="9" t="inlineStr"/>
      <c r="O76" s="29" t="n"/>
      <c r="P76" s="29" t="n"/>
      <c r="Q76" s="30" t="inlineStr"/>
    </row>
    <row r="77" ht="17" customHeight="1">
      <c r="A77" s="24" t="inlineStr">
        <is>
          <t>판넬3</t>
        </is>
      </c>
      <c r="B77" s="25" t="inlineStr">
        <is>
          <t>LO_FD_INDEX</t>
        </is>
      </c>
      <c r="C77" s="25" t="inlineStr">
        <is>
          <t>MBDLN25BE</t>
        </is>
      </c>
      <c r="D77" s="26">
        <f>IFERROR(VLOOKUP(C77,파나소닉A6규격!$A:$B,2,FALSE),"")</f>
        <v/>
      </c>
      <c r="E77" s="27">
        <f>IFERROR(VLOOKUP(C77,파나소닉A6규격!$A:$C,3,FALSE),IFERROR(VLOOKUP(C77,파스텍EziServo규격!$A:$B,2,FALSE),""))</f>
        <v/>
      </c>
      <c r="F77" s="9" t="n">
        <v>1</v>
      </c>
      <c r="G77" s="9" t="n">
        <v>1</v>
      </c>
      <c r="H77" s="9" t="n">
        <v>1</v>
      </c>
      <c r="I77" s="9" t="n">
        <v>1</v>
      </c>
      <c r="J77" s="28">
        <f>IF(E77="","",ROUND(E77*$H$2,3))</f>
        <v/>
      </c>
      <c r="K77" s="9" t="inlineStr">
        <is>
          <t>●</t>
        </is>
      </c>
      <c r="L77" s="9" t="inlineStr"/>
      <c r="M77" s="9" t="inlineStr"/>
      <c r="N77" s="9" t="inlineStr"/>
      <c r="O77" s="29" t="n"/>
      <c r="P77" s="29" t="n"/>
      <c r="Q77" s="30" t="inlineStr"/>
    </row>
    <row r="78" ht="18" customHeight="1">
      <c r="A78" s="31" t="inlineStr">
        <is>
          <t xml:space="preserve">  ▶ 판넬 3 합계</t>
        </is>
      </c>
      <c r="D78" s="32" t="n"/>
      <c r="E78" s="33">
        <f>SUM(E57:E77)</f>
        <v/>
      </c>
      <c r="F78" s="32" t="n"/>
      <c r="G78" s="32" t="n"/>
      <c r="H78" s="32" t="n"/>
      <c r="I78" s="32" t="n"/>
      <c r="J78" s="33">
        <f>SUM(J57:J77)</f>
        <v/>
      </c>
      <c r="K78" s="32" t="n"/>
      <c r="L78" s="32" t="n"/>
      <c r="M78" s="32" t="n"/>
      <c r="N78" s="32" t="n"/>
      <c r="O78" s="34" t="n">
        <v>20</v>
      </c>
      <c r="P78" s="35" t="inlineStr">
        <is>
          <t>LS ABN20c</t>
        </is>
      </c>
      <c r="Q78" s="36">
        <f>TEXT(J78,"0.00")&amp;"A×안전계수("&amp;$F$2&amp;")="&amp;TEXT(J78*$F$2,"0.00")&amp;"A → 20A 선정"</f>
        <v/>
      </c>
    </row>
    <row r="79" ht="14" customHeight="1">
      <c r="A79" s="37" t="inlineStr">
        <is>
          <t>판넬</t>
        </is>
      </c>
      <c r="B79" s="37" t="inlineStr">
        <is>
          <t>축/유닛명</t>
        </is>
      </c>
      <c r="C79" s="37" t="inlineStr">
        <is>
          <t>드라이버/장치 모델</t>
        </is>
      </c>
      <c r="D79" s="37" t="inlineStr">
        <is>
          <t>출력W[자동]</t>
        </is>
      </c>
      <c r="E79" s="37" t="inlineStr">
        <is>
          <t>정격전류[자동]</t>
        </is>
      </c>
      <c r="F79" s="37" t="inlineStr">
        <is>
          <t>상수</t>
        </is>
      </c>
      <c r="G79" s="37" t="inlineStr">
        <is>
          <t>R상</t>
        </is>
      </c>
      <c r="H79" s="37" t="inlineStr">
        <is>
          <t>S상</t>
        </is>
      </c>
      <c r="I79" s="37" t="inlineStr">
        <is>
          <t>T상</t>
        </is>
      </c>
      <c r="J79" s="37" t="inlineStr">
        <is>
          <t>설계전류(×수용률)</t>
        </is>
      </c>
      <c r="K79" s="37" t="inlineStr">
        <is>
          <t>AC3상</t>
        </is>
      </c>
      <c r="L79" s="37" t="inlineStr">
        <is>
          <t>AC단상</t>
        </is>
      </c>
      <c r="M79" s="37" t="inlineStr">
        <is>
          <t>DC24V</t>
        </is>
      </c>
      <c r="N79" s="37" t="inlineStr">
        <is>
          <t>기타</t>
        </is>
      </c>
      <c r="O79" s="37" t="inlineStr">
        <is>
          <t>권장차단기</t>
        </is>
      </c>
      <c r="P79" s="37" t="inlineStr">
        <is>
          <t>제조사/모델</t>
        </is>
      </c>
      <c r="Q79" s="37" t="inlineStr">
        <is>
          <t>비고</t>
        </is>
      </c>
    </row>
    <row r="80" ht="18" customHeight="1">
      <c r="A80" s="38" t="inlineStr">
        <is>
          <t xml:space="preserve">   ■ 파스텍 EziSpeed (AC 단상 입력) — 판넬 3 SIDE 검사</t>
        </is>
      </c>
    </row>
    <row r="81" ht="17" customHeight="1">
      <c r="A81" s="39" t="inlineStr">
        <is>
          <t>판넬3</t>
        </is>
      </c>
      <c r="B81" s="40" t="inlineStr">
        <is>
          <t>EZI_SPEED_1</t>
        </is>
      </c>
      <c r="C81" s="40" t="inlineStr">
        <is>
          <t>EZI-SPEED60H30CR100P</t>
        </is>
      </c>
      <c r="D81" s="41">
        <f>IFERROR(VLOOKUP(C81,파나소닉A6규격!$A:$B,2,FALSE),"")</f>
        <v/>
      </c>
      <c r="E81" s="42">
        <f>IFERROR(VLOOKUP(C81,파나소닉A6규격!$A:$C,3,FALSE),IFERROR(VLOOKUP(C81,파스텍EziServo규격!$A:$B,2,FALSE),""))</f>
        <v/>
      </c>
      <c r="F81" s="11" t="n">
        <v>1</v>
      </c>
      <c r="G81" s="11" t="n">
        <v>0</v>
      </c>
      <c r="H81" s="11" t="n">
        <v>0</v>
      </c>
      <c r="I81" s="11" t="n">
        <v>0</v>
      </c>
      <c r="J81" s="43">
        <f>IF(E81="","",ROUND(E81*$H$2,3))</f>
        <v/>
      </c>
      <c r="K81" s="11" t="inlineStr"/>
      <c r="L81" s="11" t="inlineStr">
        <is>
          <t>●</t>
        </is>
      </c>
      <c r="M81" s="11" t="inlineStr"/>
      <c r="N81" s="11" t="inlineStr"/>
      <c r="O81" s="44" t="n"/>
      <c r="P81" s="44" t="n"/>
      <c r="Q81" s="45" t="inlineStr">
        <is>
          <t>SIDE 검사 #1</t>
        </is>
      </c>
    </row>
    <row r="82" ht="17" customHeight="1">
      <c r="A82" s="39" t="inlineStr">
        <is>
          <t>판넬3</t>
        </is>
      </c>
      <c r="B82" s="40" t="inlineStr">
        <is>
          <t>EZI_SPEED_2</t>
        </is>
      </c>
      <c r="C82" s="40" t="inlineStr">
        <is>
          <t>EZI-SPEED60H30CR100P</t>
        </is>
      </c>
      <c r="D82" s="41">
        <f>IFERROR(VLOOKUP(C82,파나소닉A6규격!$A:$B,2,FALSE),"")</f>
        <v/>
      </c>
      <c r="E82" s="42">
        <f>IFERROR(VLOOKUP(C82,파나소닉A6규격!$A:$C,3,FALSE),IFERROR(VLOOKUP(C82,파스텍EziServo규격!$A:$B,2,FALSE),""))</f>
        <v/>
      </c>
      <c r="F82" s="11" t="n">
        <v>1</v>
      </c>
      <c r="G82" s="11" t="n">
        <v>0</v>
      </c>
      <c r="H82" s="11" t="n">
        <v>0</v>
      </c>
      <c r="I82" s="11" t="n">
        <v>0</v>
      </c>
      <c r="J82" s="43">
        <f>IF(E82="","",ROUND(E82*$H$2,3))</f>
        <v/>
      </c>
      <c r="K82" s="11" t="inlineStr"/>
      <c r="L82" s="11" t="inlineStr">
        <is>
          <t>●</t>
        </is>
      </c>
      <c r="M82" s="11" t="inlineStr"/>
      <c r="N82" s="11" t="inlineStr"/>
      <c r="O82" s="44" t="n"/>
      <c r="P82" s="44" t="n"/>
      <c r="Q82" s="45" t="inlineStr">
        <is>
          <t>SIDE 검사 #2</t>
        </is>
      </c>
    </row>
    <row r="83" ht="17" customHeight="1">
      <c r="A83" s="39" t="inlineStr">
        <is>
          <t>판넬3</t>
        </is>
      </c>
      <c r="B83" s="40" t="inlineStr">
        <is>
          <t>EZI_SPEED_3</t>
        </is>
      </c>
      <c r="C83" s="40" t="inlineStr">
        <is>
          <t>EZI-SPEED60H30CR100P</t>
        </is>
      </c>
      <c r="D83" s="41">
        <f>IFERROR(VLOOKUP(C83,파나소닉A6규격!$A:$B,2,FALSE),"")</f>
        <v/>
      </c>
      <c r="E83" s="42">
        <f>IFERROR(VLOOKUP(C83,파나소닉A6규격!$A:$C,3,FALSE),IFERROR(VLOOKUP(C83,파스텍EziServo규격!$A:$B,2,FALSE),""))</f>
        <v/>
      </c>
      <c r="F83" s="11" t="n">
        <v>1</v>
      </c>
      <c r="G83" s="11" t="n">
        <v>0</v>
      </c>
      <c r="H83" s="11" t="n">
        <v>0</v>
      </c>
      <c r="I83" s="11" t="n">
        <v>0</v>
      </c>
      <c r="J83" s="43">
        <f>IF(E83="","",ROUND(E83*$H$2,3))</f>
        <v/>
      </c>
      <c r="K83" s="11" t="inlineStr"/>
      <c r="L83" s="11" t="inlineStr">
        <is>
          <t>●</t>
        </is>
      </c>
      <c r="M83" s="11" t="inlineStr"/>
      <c r="N83" s="11" t="inlineStr"/>
      <c r="O83" s="44" t="n"/>
      <c r="P83" s="44" t="n"/>
      <c r="Q83" s="45" t="inlineStr">
        <is>
          <t>SIDE 검사 #3</t>
        </is>
      </c>
    </row>
    <row r="84" ht="17" customHeight="1">
      <c r="A84" s="39" t="inlineStr">
        <is>
          <t>판넬3</t>
        </is>
      </c>
      <c r="B84" s="40" t="inlineStr">
        <is>
          <t>EZI_SPEED_4</t>
        </is>
      </c>
      <c r="C84" s="40" t="inlineStr">
        <is>
          <t>EZI-SPEED60H30CR100P</t>
        </is>
      </c>
      <c r="D84" s="41">
        <f>IFERROR(VLOOKUP(C84,파나소닉A6규격!$A:$B,2,FALSE),"")</f>
        <v/>
      </c>
      <c r="E84" s="42">
        <f>IFERROR(VLOOKUP(C84,파나소닉A6규격!$A:$C,3,FALSE),IFERROR(VLOOKUP(C84,파스텍EziServo규격!$A:$B,2,FALSE),""))</f>
        <v/>
      </c>
      <c r="F84" s="11" t="n">
        <v>1</v>
      </c>
      <c r="G84" s="11" t="n">
        <v>0</v>
      </c>
      <c r="H84" s="11" t="n">
        <v>0</v>
      </c>
      <c r="I84" s="11" t="n">
        <v>0</v>
      </c>
      <c r="J84" s="43">
        <f>IF(E84="","",ROUND(E84*$H$2,3))</f>
        <v/>
      </c>
      <c r="K84" s="11" t="inlineStr"/>
      <c r="L84" s="11" t="inlineStr">
        <is>
          <t>●</t>
        </is>
      </c>
      <c r="M84" s="11" t="inlineStr"/>
      <c r="N84" s="11" t="inlineStr"/>
      <c r="O84" s="44" t="n"/>
      <c r="P84" s="44" t="n"/>
      <c r="Q84" s="45" t="inlineStr">
        <is>
          <t>SIDE 검사 #4</t>
        </is>
      </c>
    </row>
    <row r="85" ht="17" customHeight="1">
      <c r="A85" s="39" t="inlineStr">
        <is>
          <t>판넬3</t>
        </is>
      </c>
      <c r="B85" s="40" t="inlineStr">
        <is>
          <t>EZI_SPEED_5</t>
        </is>
      </c>
      <c r="C85" s="40" t="inlineStr">
        <is>
          <t>EZI-SPEED60H30CR100P</t>
        </is>
      </c>
      <c r="D85" s="41">
        <f>IFERROR(VLOOKUP(C85,파나소닉A6규격!$A:$B,2,FALSE),"")</f>
        <v/>
      </c>
      <c r="E85" s="42">
        <f>IFERROR(VLOOKUP(C85,파나소닉A6규격!$A:$C,3,FALSE),IFERROR(VLOOKUP(C85,파스텍EziServo규격!$A:$B,2,FALSE),""))</f>
        <v/>
      </c>
      <c r="F85" s="11" t="n">
        <v>1</v>
      </c>
      <c r="G85" s="11" t="n">
        <v>0</v>
      </c>
      <c r="H85" s="11" t="n">
        <v>0</v>
      </c>
      <c r="I85" s="11" t="n">
        <v>0</v>
      </c>
      <c r="J85" s="43">
        <f>IF(E85="","",ROUND(E85*$H$2,3))</f>
        <v/>
      </c>
      <c r="K85" s="11" t="inlineStr"/>
      <c r="L85" s="11" t="inlineStr">
        <is>
          <t>●</t>
        </is>
      </c>
      <c r="M85" s="11" t="inlineStr"/>
      <c r="N85" s="11" t="inlineStr"/>
      <c r="O85" s="44" t="n"/>
      <c r="P85" s="44" t="n"/>
      <c r="Q85" s="45" t="inlineStr">
        <is>
          <t>SIDE 검사 #5</t>
        </is>
      </c>
    </row>
    <row r="86" ht="17" customHeight="1">
      <c r="A86" s="39" t="inlineStr">
        <is>
          <t>판넬3</t>
        </is>
      </c>
      <c r="B86" s="40" t="inlineStr">
        <is>
          <t>EZI_SPEED_6</t>
        </is>
      </c>
      <c r="C86" s="40" t="inlineStr">
        <is>
          <t>EZI-SPEED60H30CR100P</t>
        </is>
      </c>
      <c r="D86" s="41">
        <f>IFERROR(VLOOKUP(C86,파나소닉A6규격!$A:$B,2,FALSE),"")</f>
        <v/>
      </c>
      <c r="E86" s="42">
        <f>IFERROR(VLOOKUP(C86,파나소닉A6규격!$A:$C,3,FALSE),IFERROR(VLOOKUP(C86,파스텍EziServo규격!$A:$B,2,FALSE),""))</f>
        <v/>
      </c>
      <c r="F86" s="11" t="n">
        <v>1</v>
      </c>
      <c r="G86" s="11" t="n">
        <v>0</v>
      </c>
      <c r="H86" s="11" t="n">
        <v>0</v>
      </c>
      <c r="I86" s="11" t="n">
        <v>0</v>
      </c>
      <c r="J86" s="43">
        <f>IF(E86="","",ROUND(E86*$H$2,3))</f>
        <v/>
      </c>
      <c r="K86" s="11" t="inlineStr"/>
      <c r="L86" s="11" t="inlineStr">
        <is>
          <t>●</t>
        </is>
      </c>
      <c r="M86" s="11" t="inlineStr"/>
      <c r="N86" s="11" t="inlineStr"/>
      <c r="O86" s="44" t="n"/>
      <c r="P86" s="44" t="n"/>
      <c r="Q86" s="45" t="inlineStr">
        <is>
          <t>SIDE 검사 #6</t>
        </is>
      </c>
    </row>
    <row r="87" ht="14" customHeight="1">
      <c r="A87" s="37" t="inlineStr">
        <is>
          <t>판넬</t>
        </is>
      </c>
      <c r="B87" s="37" t="inlineStr">
        <is>
          <t>축/유닛명</t>
        </is>
      </c>
      <c r="C87" s="37" t="inlineStr">
        <is>
          <t>드라이버/장치 모델</t>
        </is>
      </c>
      <c r="D87" s="37" t="inlineStr">
        <is>
          <t>출력W[자동]</t>
        </is>
      </c>
      <c r="E87" s="37" t="inlineStr">
        <is>
          <t>정격전류[자동]</t>
        </is>
      </c>
      <c r="F87" s="37" t="inlineStr">
        <is>
          <t>상수</t>
        </is>
      </c>
      <c r="G87" s="37" t="inlineStr">
        <is>
          <t>R상</t>
        </is>
      </c>
      <c r="H87" s="37" t="inlineStr">
        <is>
          <t>S상</t>
        </is>
      </c>
      <c r="I87" s="37" t="inlineStr">
        <is>
          <t>T상</t>
        </is>
      </c>
      <c r="J87" s="37" t="inlineStr">
        <is>
          <t>설계전류(×수용률)</t>
        </is>
      </c>
      <c r="K87" s="37" t="inlineStr">
        <is>
          <t>AC3상</t>
        </is>
      </c>
      <c r="L87" s="37" t="inlineStr">
        <is>
          <t>AC단상</t>
        </is>
      </c>
      <c r="M87" s="37" t="inlineStr">
        <is>
          <t>DC24V</t>
        </is>
      </c>
      <c r="N87" s="37" t="inlineStr">
        <is>
          <t>기타</t>
        </is>
      </c>
      <c r="O87" s="37" t="inlineStr">
        <is>
          <t>권장차단기</t>
        </is>
      </c>
      <c r="P87" s="37" t="inlineStr">
        <is>
          <t>제조사/모델</t>
        </is>
      </c>
      <c r="Q87" s="37" t="inlineStr">
        <is>
          <t>비고</t>
        </is>
      </c>
    </row>
    <row r="88" ht="18" customHeight="1">
      <c r="A88" s="23" t="inlineStr">
        <is>
          <t>■ 판넬 4 — AC 3상 서보드라이버 (파나소닉 A6)</t>
        </is>
      </c>
    </row>
    <row r="89" ht="17" customHeight="1">
      <c r="A89" s="46" t="inlineStr">
        <is>
          <t>판넬4</t>
        </is>
      </c>
      <c r="B89" s="47" t="inlineStr">
        <is>
          <t>TOP_MAC_Y</t>
        </is>
      </c>
      <c r="C89" s="47" t="inlineStr">
        <is>
          <t>MADLN15BE</t>
        </is>
      </c>
      <c r="D89" s="48">
        <f>IFERROR(VLOOKUP(C89,파나소닉A6규격!$A:$B,2,FALSE),"")</f>
        <v/>
      </c>
      <c r="E89" s="49">
        <f>IFERROR(VLOOKUP(C89,파나소닉A6규격!$A:$C,3,FALSE),IFERROR(VLOOKUP(C89,파스텍EziServo규격!$A:$B,2,FALSE),""))</f>
        <v/>
      </c>
      <c r="F89" s="50" t="n">
        <v>1</v>
      </c>
      <c r="G89" s="50" t="n">
        <v>1</v>
      </c>
      <c r="H89" s="50" t="n">
        <v>1</v>
      </c>
      <c r="I89" s="50" t="n">
        <v>1</v>
      </c>
      <c r="J89" s="51">
        <f>IF(E89="","",ROUND(E89*$H$2,3))</f>
        <v/>
      </c>
      <c r="K89" s="50" t="inlineStr">
        <is>
          <t>●</t>
        </is>
      </c>
      <c r="L89" s="50" t="inlineStr"/>
      <c r="M89" s="50" t="inlineStr"/>
      <c r="N89" s="50" t="inlineStr"/>
      <c r="O89" s="52" t="n"/>
      <c r="P89" s="52" t="n"/>
      <c r="Q89" s="53" t="inlineStr"/>
    </row>
    <row r="90" ht="17" customHeight="1">
      <c r="A90" s="46" t="inlineStr">
        <is>
          <t>판넬4</t>
        </is>
      </c>
      <c r="B90" s="47" t="inlineStr">
        <is>
          <t>TOP_MAC_X</t>
        </is>
      </c>
      <c r="C90" s="47" t="inlineStr">
        <is>
          <t>MADLN15BE</t>
        </is>
      </c>
      <c r="D90" s="48">
        <f>IFERROR(VLOOKUP(C90,파나소닉A6규격!$A:$B,2,FALSE),"")</f>
        <v/>
      </c>
      <c r="E90" s="49">
        <f>IFERROR(VLOOKUP(C90,파나소닉A6규격!$A:$C,3,FALSE),IFERROR(VLOOKUP(C90,파스텍EziServo규격!$A:$B,2,FALSE),""))</f>
        <v/>
      </c>
      <c r="F90" s="50" t="n">
        <v>1</v>
      </c>
      <c r="G90" s="50" t="n">
        <v>1</v>
      </c>
      <c r="H90" s="50" t="n">
        <v>1</v>
      </c>
      <c r="I90" s="50" t="n">
        <v>1</v>
      </c>
      <c r="J90" s="51">
        <f>IF(E90="","",ROUND(E90*$H$2,3))</f>
        <v/>
      </c>
      <c r="K90" s="50" t="inlineStr">
        <is>
          <t>●</t>
        </is>
      </c>
      <c r="L90" s="50" t="inlineStr"/>
      <c r="M90" s="50" t="inlineStr"/>
      <c r="N90" s="50" t="inlineStr"/>
      <c r="O90" s="52" t="n"/>
      <c r="P90" s="52" t="n"/>
      <c r="Q90" s="53" t="inlineStr"/>
    </row>
    <row r="91" ht="17" customHeight="1">
      <c r="A91" s="46" t="inlineStr">
        <is>
          <t>판넬4</t>
        </is>
      </c>
      <c r="B91" s="47" t="inlineStr">
        <is>
          <t>TOP_MAC_Z</t>
        </is>
      </c>
      <c r="C91" s="47" t="inlineStr">
        <is>
          <t>MADLN05BE</t>
        </is>
      </c>
      <c r="D91" s="48">
        <f>IFERROR(VLOOKUP(C91,파나소닉A6규격!$A:$B,2,FALSE),"")</f>
        <v/>
      </c>
      <c r="E91" s="49">
        <f>IFERROR(VLOOKUP(C91,파나소닉A6규격!$A:$C,3,FALSE),IFERROR(VLOOKUP(C91,파스텍EziServo규격!$A:$B,2,FALSE),""))</f>
        <v/>
      </c>
      <c r="F91" s="50" t="n">
        <v>1</v>
      </c>
      <c r="G91" s="50" t="n">
        <v>1</v>
      </c>
      <c r="H91" s="50" t="n">
        <v>1</v>
      </c>
      <c r="I91" s="50" t="n">
        <v>1</v>
      </c>
      <c r="J91" s="51">
        <f>IF(E91="","",ROUND(E91*$H$2,3))</f>
        <v/>
      </c>
      <c r="K91" s="50" t="inlineStr">
        <is>
          <t>●</t>
        </is>
      </c>
      <c r="L91" s="50" t="inlineStr"/>
      <c r="M91" s="50" t="inlineStr"/>
      <c r="N91" s="50" t="inlineStr"/>
      <c r="O91" s="52" t="n"/>
      <c r="P91" s="52" t="n"/>
      <c r="Q91" s="53" t="inlineStr"/>
    </row>
    <row r="92" ht="17" customHeight="1">
      <c r="A92" s="46" t="inlineStr">
        <is>
          <t>판넬4</t>
        </is>
      </c>
      <c r="B92" s="47" t="inlineStr">
        <is>
          <t>TOP_MIC_Y</t>
        </is>
      </c>
      <c r="C92" s="47" t="inlineStr">
        <is>
          <t>MADLN15BE</t>
        </is>
      </c>
      <c r="D92" s="48">
        <f>IFERROR(VLOOKUP(C92,파나소닉A6규격!$A:$B,2,FALSE),"")</f>
        <v/>
      </c>
      <c r="E92" s="49">
        <f>IFERROR(VLOOKUP(C92,파나소닉A6규격!$A:$C,3,FALSE),IFERROR(VLOOKUP(C92,파스텍EziServo규격!$A:$B,2,FALSE),""))</f>
        <v/>
      </c>
      <c r="F92" s="50" t="n">
        <v>1</v>
      </c>
      <c r="G92" s="50" t="n">
        <v>1</v>
      </c>
      <c r="H92" s="50" t="n">
        <v>1</v>
      </c>
      <c r="I92" s="50" t="n">
        <v>1</v>
      </c>
      <c r="J92" s="51">
        <f>IF(E92="","",ROUND(E92*$H$2,3))</f>
        <v/>
      </c>
      <c r="K92" s="50" t="inlineStr">
        <is>
          <t>●</t>
        </is>
      </c>
      <c r="L92" s="50" t="inlineStr"/>
      <c r="M92" s="50" t="inlineStr"/>
      <c r="N92" s="50" t="inlineStr"/>
      <c r="O92" s="52" t="n"/>
      <c r="P92" s="52" t="n"/>
      <c r="Q92" s="53" t="inlineStr"/>
    </row>
    <row r="93" ht="17" customHeight="1">
      <c r="A93" s="46" t="inlineStr">
        <is>
          <t>판넬4</t>
        </is>
      </c>
      <c r="B93" s="47" t="inlineStr">
        <is>
          <t>TOP_MIC_X</t>
        </is>
      </c>
      <c r="C93" s="47" t="inlineStr">
        <is>
          <t>MADLN15BE</t>
        </is>
      </c>
      <c r="D93" s="48">
        <f>IFERROR(VLOOKUP(C93,파나소닉A6규격!$A:$B,2,FALSE),"")</f>
        <v/>
      </c>
      <c r="E93" s="49">
        <f>IFERROR(VLOOKUP(C93,파나소닉A6규격!$A:$C,3,FALSE),IFERROR(VLOOKUP(C93,파스텍EziServo규격!$A:$B,2,FALSE),""))</f>
        <v/>
      </c>
      <c r="F93" s="50" t="n">
        <v>1</v>
      </c>
      <c r="G93" s="50" t="n">
        <v>1</v>
      </c>
      <c r="H93" s="50" t="n">
        <v>1</v>
      </c>
      <c r="I93" s="50" t="n">
        <v>1</v>
      </c>
      <c r="J93" s="51">
        <f>IF(E93="","",ROUND(E93*$H$2,3))</f>
        <v/>
      </c>
      <c r="K93" s="50" t="inlineStr">
        <is>
          <t>●</t>
        </is>
      </c>
      <c r="L93" s="50" t="inlineStr"/>
      <c r="M93" s="50" t="inlineStr"/>
      <c r="N93" s="50" t="inlineStr"/>
      <c r="O93" s="52" t="n"/>
      <c r="P93" s="52" t="n"/>
      <c r="Q93" s="53" t="inlineStr"/>
    </row>
    <row r="94" ht="17" customHeight="1">
      <c r="A94" s="46" t="inlineStr">
        <is>
          <t>판넬4</t>
        </is>
      </c>
      <c r="B94" s="47" t="inlineStr">
        <is>
          <t>TOP_MIC_Z</t>
        </is>
      </c>
      <c r="C94" s="47" t="inlineStr">
        <is>
          <t>MADLN05BE</t>
        </is>
      </c>
      <c r="D94" s="48">
        <f>IFERROR(VLOOKUP(C94,파나소닉A6규격!$A:$B,2,FALSE),"")</f>
        <v/>
      </c>
      <c r="E94" s="49">
        <f>IFERROR(VLOOKUP(C94,파나소닉A6규격!$A:$C,3,FALSE),IFERROR(VLOOKUP(C94,파스텍EziServo규격!$A:$B,2,FALSE),""))</f>
        <v/>
      </c>
      <c r="F94" s="50" t="n">
        <v>1</v>
      </c>
      <c r="G94" s="50" t="n">
        <v>1</v>
      </c>
      <c r="H94" s="50" t="n">
        <v>1</v>
      </c>
      <c r="I94" s="50" t="n">
        <v>1</v>
      </c>
      <c r="J94" s="51">
        <f>IF(E94="","",ROUND(E94*$H$2,3))</f>
        <v/>
      </c>
      <c r="K94" s="50" t="inlineStr">
        <is>
          <t>●</t>
        </is>
      </c>
      <c r="L94" s="50" t="inlineStr"/>
      <c r="M94" s="50" t="inlineStr"/>
      <c r="N94" s="50" t="inlineStr"/>
      <c r="O94" s="52" t="n"/>
      <c r="P94" s="52" t="n"/>
      <c r="Q94" s="53" t="inlineStr"/>
    </row>
    <row r="95" ht="17" customHeight="1">
      <c r="A95" s="46" t="inlineStr">
        <is>
          <t>판넬4</t>
        </is>
      </c>
      <c r="B95" s="47" t="inlineStr">
        <is>
          <t>INSPEC_CONV1</t>
        </is>
      </c>
      <c r="C95" s="47" t="inlineStr">
        <is>
          <t>MADLN15BE</t>
        </is>
      </c>
      <c r="D95" s="48">
        <f>IFERROR(VLOOKUP(C95,파나소닉A6규격!$A:$B,2,FALSE),"")</f>
        <v/>
      </c>
      <c r="E95" s="49">
        <f>IFERROR(VLOOKUP(C95,파나소닉A6규격!$A:$C,3,FALSE),IFERROR(VLOOKUP(C95,파스텍EziServo규격!$A:$B,2,FALSE),""))</f>
        <v/>
      </c>
      <c r="F95" s="50" t="n">
        <v>1</v>
      </c>
      <c r="G95" s="50" t="n">
        <v>1</v>
      </c>
      <c r="H95" s="50" t="n">
        <v>1</v>
      </c>
      <c r="I95" s="50" t="n">
        <v>1</v>
      </c>
      <c r="J95" s="51">
        <f>IF(E95="","",ROUND(E95*$H$2,3))</f>
        <v/>
      </c>
      <c r="K95" s="50" t="inlineStr">
        <is>
          <t>●</t>
        </is>
      </c>
      <c r="L95" s="50" t="inlineStr"/>
      <c r="M95" s="50" t="inlineStr"/>
      <c r="N95" s="50" t="inlineStr"/>
      <c r="O95" s="52" t="n"/>
      <c r="P95" s="52" t="n"/>
      <c r="Q95" s="53" t="inlineStr"/>
    </row>
    <row r="96" ht="17" customHeight="1">
      <c r="A96" s="46" t="inlineStr">
        <is>
          <t>판넬4</t>
        </is>
      </c>
      <c r="B96" s="47" t="inlineStr">
        <is>
          <t>INSPEC_CONV2</t>
        </is>
      </c>
      <c r="C96" s="47" t="inlineStr">
        <is>
          <t>MADLN15BE</t>
        </is>
      </c>
      <c r="D96" s="48">
        <f>IFERROR(VLOOKUP(C96,파나소닉A6규격!$A:$B,2,FALSE),"")</f>
        <v/>
      </c>
      <c r="E96" s="49">
        <f>IFERROR(VLOOKUP(C96,파나소닉A6규격!$A:$C,3,FALSE),IFERROR(VLOOKUP(C96,파스텍EziServo규격!$A:$B,2,FALSE),""))</f>
        <v/>
      </c>
      <c r="F96" s="50" t="n">
        <v>1</v>
      </c>
      <c r="G96" s="50" t="n">
        <v>1</v>
      </c>
      <c r="H96" s="50" t="n">
        <v>1</v>
      </c>
      <c r="I96" s="50" t="n">
        <v>1</v>
      </c>
      <c r="J96" s="51">
        <f>IF(E96="","",ROUND(E96*$H$2,3))</f>
        <v/>
      </c>
      <c r="K96" s="50" t="inlineStr">
        <is>
          <t>●</t>
        </is>
      </c>
      <c r="L96" s="50" t="inlineStr"/>
      <c r="M96" s="50" t="inlineStr"/>
      <c r="N96" s="50" t="inlineStr"/>
      <c r="O96" s="52" t="n"/>
      <c r="P96" s="52" t="n"/>
      <c r="Q96" s="53" t="inlineStr"/>
    </row>
    <row r="97" ht="17" customHeight="1">
      <c r="A97" s="46" t="inlineStr">
        <is>
          <t>판넬4</t>
        </is>
      </c>
      <c r="B97" s="47" t="inlineStr">
        <is>
          <t>JIG_PLATE_CONV1</t>
        </is>
      </c>
      <c r="C97" s="47" t="inlineStr">
        <is>
          <t>MADLN15BE</t>
        </is>
      </c>
      <c r="D97" s="48">
        <f>IFERROR(VLOOKUP(C97,파나소닉A6규격!$A:$B,2,FALSE),"")</f>
        <v/>
      </c>
      <c r="E97" s="49">
        <f>IFERROR(VLOOKUP(C97,파나소닉A6규격!$A:$C,3,FALSE),IFERROR(VLOOKUP(C97,파스텍EziServo규격!$A:$B,2,FALSE),""))</f>
        <v/>
      </c>
      <c r="F97" s="50" t="n">
        <v>1</v>
      </c>
      <c r="G97" s="50" t="n">
        <v>1</v>
      </c>
      <c r="H97" s="50" t="n">
        <v>1</v>
      </c>
      <c r="I97" s="50" t="n">
        <v>1</v>
      </c>
      <c r="J97" s="51">
        <f>IF(E97="","",ROUND(E97*$H$2,3))</f>
        <v/>
      </c>
      <c r="K97" s="50" t="inlineStr">
        <is>
          <t>●</t>
        </is>
      </c>
      <c r="L97" s="50" t="inlineStr"/>
      <c r="M97" s="50" t="inlineStr"/>
      <c r="N97" s="50" t="inlineStr"/>
      <c r="O97" s="52" t="n"/>
      <c r="P97" s="52" t="n"/>
      <c r="Q97" s="53" t="inlineStr"/>
    </row>
    <row r="98" ht="17" customHeight="1">
      <c r="A98" s="46" t="inlineStr">
        <is>
          <t>판넬4</t>
        </is>
      </c>
      <c r="B98" s="47" t="inlineStr">
        <is>
          <t>JIG_PLATE_CONV2</t>
        </is>
      </c>
      <c r="C98" s="47" t="inlineStr">
        <is>
          <t>MADLN15BE</t>
        </is>
      </c>
      <c r="D98" s="48">
        <f>IFERROR(VLOOKUP(C98,파나소닉A6규격!$A:$B,2,FALSE),"")</f>
        <v/>
      </c>
      <c r="E98" s="49">
        <f>IFERROR(VLOOKUP(C98,파나소닉A6규격!$A:$C,3,FALSE),IFERROR(VLOOKUP(C98,파스텍EziServo규격!$A:$B,2,FALSE),""))</f>
        <v/>
      </c>
      <c r="F98" s="50" t="n">
        <v>1</v>
      </c>
      <c r="G98" s="50" t="n">
        <v>1</v>
      </c>
      <c r="H98" s="50" t="n">
        <v>1</v>
      </c>
      <c r="I98" s="50" t="n">
        <v>1</v>
      </c>
      <c r="J98" s="51">
        <f>IF(E98="","",ROUND(E98*$H$2,3))</f>
        <v/>
      </c>
      <c r="K98" s="50" t="inlineStr">
        <is>
          <t>●</t>
        </is>
      </c>
      <c r="L98" s="50" t="inlineStr"/>
      <c r="M98" s="50" t="inlineStr"/>
      <c r="N98" s="50" t="inlineStr"/>
      <c r="O98" s="52" t="n"/>
      <c r="P98" s="52" t="n"/>
      <c r="Q98" s="53" t="inlineStr"/>
    </row>
    <row r="99" ht="17" customHeight="1">
      <c r="A99" s="46" t="inlineStr">
        <is>
          <t>판넬4</t>
        </is>
      </c>
      <c r="B99" s="47" t="inlineStr">
        <is>
          <t>LO_JIG_TRANS_Y</t>
        </is>
      </c>
      <c r="C99" s="47" t="inlineStr">
        <is>
          <t>MADLN05BE</t>
        </is>
      </c>
      <c r="D99" s="48">
        <f>IFERROR(VLOOKUP(C99,파나소닉A6규격!$A:$B,2,FALSE),"")</f>
        <v/>
      </c>
      <c r="E99" s="49">
        <f>IFERROR(VLOOKUP(C99,파나소닉A6규격!$A:$C,3,FALSE),IFERROR(VLOOKUP(C99,파스텍EziServo규격!$A:$B,2,FALSE),""))</f>
        <v/>
      </c>
      <c r="F99" s="50" t="n">
        <v>1</v>
      </c>
      <c r="G99" s="50" t="n">
        <v>1</v>
      </c>
      <c r="H99" s="50" t="n">
        <v>1</v>
      </c>
      <c r="I99" s="50" t="n">
        <v>1</v>
      </c>
      <c r="J99" s="51">
        <f>IF(E99="","",ROUND(E99*$H$2,3))</f>
        <v/>
      </c>
      <c r="K99" s="50" t="inlineStr">
        <is>
          <t>●</t>
        </is>
      </c>
      <c r="L99" s="50" t="inlineStr"/>
      <c r="M99" s="50" t="inlineStr"/>
      <c r="N99" s="50" t="inlineStr"/>
      <c r="O99" s="52" t="n"/>
      <c r="P99" s="52" t="n"/>
      <c r="Q99" s="53" t="inlineStr"/>
    </row>
    <row r="100" ht="17" customHeight="1">
      <c r="A100" s="46" t="inlineStr">
        <is>
          <t>판넬4</t>
        </is>
      </c>
      <c r="B100" s="47" t="inlineStr">
        <is>
          <t>LO_JIG_TRANS_Z</t>
        </is>
      </c>
      <c r="C100" s="47" t="inlineStr">
        <is>
          <t>MADLN05BE</t>
        </is>
      </c>
      <c r="D100" s="48">
        <f>IFERROR(VLOOKUP(C100,파나소닉A6규격!$A:$B,2,FALSE),"")</f>
        <v/>
      </c>
      <c r="E100" s="49">
        <f>IFERROR(VLOOKUP(C100,파나소닉A6규격!$A:$C,3,FALSE),IFERROR(VLOOKUP(C100,파스텍EziServo규격!$A:$B,2,FALSE),""))</f>
        <v/>
      </c>
      <c r="F100" s="50" t="n">
        <v>1</v>
      </c>
      <c r="G100" s="50" t="n">
        <v>1</v>
      </c>
      <c r="H100" s="50" t="n">
        <v>1</v>
      </c>
      <c r="I100" s="50" t="n">
        <v>1</v>
      </c>
      <c r="J100" s="51">
        <f>IF(E100="","",ROUND(E100*$H$2,3))</f>
        <v/>
      </c>
      <c r="K100" s="50" t="inlineStr">
        <is>
          <t>●</t>
        </is>
      </c>
      <c r="L100" s="50" t="inlineStr"/>
      <c r="M100" s="50" t="inlineStr"/>
      <c r="N100" s="50" t="inlineStr"/>
      <c r="O100" s="52" t="n"/>
      <c r="P100" s="52" t="n"/>
      <c r="Q100" s="53" t="inlineStr"/>
    </row>
    <row r="101" ht="17" customHeight="1">
      <c r="A101" s="46" t="inlineStr">
        <is>
          <t>판넬4</t>
        </is>
      </c>
      <c r="B101" s="47" t="inlineStr">
        <is>
          <t>TURN_PLATE</t>
        </is>
      </c>
      <c r="C101" s="47" t="inlineStr">
        <is>
          <t>MADLN05BE</t>
        </is>
      </c>
      <c r="D101" s="48">
        <f>IFERROR(VLOOKUP(C101,파나소닉A6규격!$A:$B,2,FALSE),"")</f>
        <v/>
      </c>
      <c r="E101" s="49">
        <f>IFERROR(VLOOKUP(C101,파나소닉A6규격!$A:$C,3,FALSE),IFERROR(VLOOKUP(C101,파스텍EziServo규격!$A:$B,2,FALSE),""))</f>
        <v/>
      </c>
      <c r="F101" s="50" t="n">
        <v>1</v>
      </c>
      <c r="G101" s="50" t="n">
        <v>1</v>
      </c>
      <c r="H101" s="50" t="n">
        <v>1</v>
      </c>
      <c r="I101" s="50" t="n">
        <v>1</v>
      </c>
      <c r="J101" s="51">
        <f>IF(E101="","",ROUND(E101*$H$2,3))</f>
        <v/>
      </c>
      <c r="K101" s="50" t="inlineStr">
        <is>
          <t>●</t>
        </is>
      </c>
      <c r="L101" s="50" t="inlineStr"/>
      <c r="M101" s="50" t="inlineStr"/>
      <c r="N101" s="50" t="inlineStr"/>
      <c r="O101" s="52" t="n"/>
      <c r="P101" s="52" t="n"/>
      <c r="Q101" s="53" t="inlineStr"/>
    </row>
    <row r="102" ht="17" customHeight="1">
      <c r="A102" s="46" t="inlineStr">
        <is>
          <t>판넬4</t>
        </is>
      </c>
      <c r="B102" s="47" t="inlineStr">
        <is>
          <t>INSEPC_Y</t>
        </is>
      </c>
      <c r="C102" s="47" t="inlineStr">
        <is>
          <t>MDDLN55BL</t>
        </is>
      </c>
      <c r="D102" s="48">
        <f>IFERROR(VLOOKUP(C102,파나소닉A6규격!$A:$B,2,FALSE),"")</f>
        <v/>
      </c>
      <c r="E102" s="49">
        <f>IFERROR(VLOOKUP(C102,파나소닉A6규격!$A:$C,3,FALSE),IFERROR(VLOOKUP(C102,파스텍EziServo규격!$A:$B,2,FALSE),""))</f>
        <v/>
      </c>
      <c r="F102" s="50" t="n">
        <v>1</v>
      </c>
      <c r="G102" s="50" t="n">
        <v>1</v>
      </c>
      <c r="H102" s="50" t="n">
        <v>1</v>
      </c>
      <c r="I102" s="50" t="n">
        <v>1</v>
      </c>
      <c r="J102" s="51">
        <f>IF(E102="","",ROUND(E102*$H$2,3))</f>
        <v/>
      </c>
      <c r="K102" s="50" t="inlineStr">
        <is>
          <t>●</t>
        </is>
      </c>
      <c r="L102" s="50" t="inlineStr"/>
      <c r="M102" s="50" t="inlineStr"/>
      <c r="N102" s="50" t="inlineStr"/>
      <c r="O102" s="52" t="n"/>
      <c r="P102" s="52" t="n"/>
      <c r="Q102" s="53" t="inlineStr"/>
    </row>
    <row r="103" ht="17" customHeight="1">
      <c r="A103" s="46" t="inlineStr">
        <is>
          <t>판넬4</t>
        </is>
      </c>
      <c r="B103" s="47" t="inlineStr">
        <is>
          <t>INSPEC_X</t>
        </is>
      </c>
      <c r="C103" s="47" t="inlineStr">
        <is>
          <t>MCDLN35BL</t>
        </is>
      </c>
      <c r="D103" s="48">
        <f>IFERROR(VLOOKUP(C103,파나소닉A6규격!$A:$B,2,FALSE),"")</f>
        <v/>
      </c>
      <c r="E103" s="49">
        <f>IFERROR(VLOOKUP(C103,파나소닉A6규격!$A:$C,3,FALSE),IFERROR(VLOOKUP(C103,파스텍EziServo규격!$A:$B,2,FALSE),""))</f>
        <v/>
      </c>
      <c r="F103" s="50" t="n">
        <v>1</v>
      </c>
      <c r="G103" s="50" t="n">
        <v>1</v>
      </c>
      <c r="H103" s="50" t="n">
        <v>1</v>
      </c>
      <c r="I103" s="50" t="n">
        <v>1</v>
      </c>
      <c r="J103" s="51">
        <f>IF(E103="","",ROUND(E103*$H$2,3))</f>
        <v/>
      </c>
      <c r="K103" s="50" t="inlineStr">
        <is>
          <t>●</t>
        </is>
      </c>
      <c r="L103" s="50" t="inlineStr"/>
      <c r="M103" s="50" t="inlineStr"/>
      <c r="N103" s="50" t="inlineStr"/>
      <c r="O103" s="52" t="n"/>
      <c r="P103" s="52" t="n"/>
      <c r="Q103" s="53" t="inlineStr"/>
    </row>
    <row r="104" ht="17" customHeight="1">
      <c r="A104" s="46" t="inlineStr">
        <is>
          <t>판넬4</t>
        </is>
      </c>
      <c r="B104" s="47" t="inlineStr">
        <is>
          <t>INSPEC_Z1</t>
        </is>
      </c>
      <c r="C104" s="47" t="inlineStr">
        <is>
          <t>MADLN05BE</t>
        </is>
      </c>
      <c r="D104" s="48">
        <f>IFERROR(VLOOKUP(C104,파나소닉A6규격!$A:$B,2,FALSE),"")</f>
        <v/>
      </c>
      <c r="E104" s="49">
        <f>IFERROR(VLOOKUP(C104,파나소닉A6규격!$A:$C,3,FALSE),IFERROR(VLOOKUP(C104,파스텍EziServo규격!$A:$B,2,FALSE),""))</f>
        <v/>
      </c>
      <c r="F104" s="50" t="n">
        <v>1</v>
      </c>
      <c r="G104" s="50" t="n">
        <v>1</v>
      </c>
      <c r="H104" s="50" t="n">
        <v>1</v>
      </c>
      <c r="I104" s="50" t="n">
        <v>1</v>
      </c>
      <c r="J104" s="51">
        <f>IF(E104="","",ROUND(E104*$H$2,3))</f>
        <v/>
      </c>
      <c r="K104" s="50" t="inlineStr">
        <is>
          <t>●</t>
        </is>
      </c>
      <c r="L104" s="50" t="inlineStr"/>
      <c r="M104" s="50" t="inlineStr"/>
      <c r="N104" s="50" t="inlineStr"/>
      <c r="O104" s="52" t="n"/>
      <c r="P104" s="52" t="n"/>
      <c r="Q104" s="53" t="inlineStr"/>
    </row>
    <row r="105" ht="17" customHeight="1">
      <c r="A105" s="46" t="inlineStr">
        <is>
          <t>판넬4</t>
        </is>
      </c>
      <c r="B105" s="47" t="inlineStr">
        <is>
          <t>INSPEC_Z2</t>
        </is>
      </c>
      <c r="C105" s="47" t="inlineStr">
        <is>
          <t>MADLN05BE</t>
        </is>
      </c>
      <c r="D105" s="48">
        <f>IFERROR(VLOOKUP(C105,파나소닉A6규격!$A:$B,2,FALSE),"")</f>
        <v/>
      </c>
      <c r="E105" s="49">
        <f>IFERROR(VLOOKUP(C105,파나소닉A6규격!$A:$C,3,FALSE),IFERROR(VLOOKUP(C105,파스텍EziServo규격!$A:$B,2,FALSE),""))</f>
        <v/>
      </c>
      <c r="F105" s="50" t="n">
        <v>1</v>
      </c>
      <c r="G105" s="50" t="n">
        <v>1</v>
      </c>
      <c r="H105" s="50" t="n">
        <v>1</v>
      </c>
      <c r="I105" s="50" t="n">
        <v>1</v>
      </c>
      <c r="J105" s="51">
        <f>IF(E105="","",ROUND(E105*$H$2,3))</f>
        <v/>
      </c>
      <c r="K105" s="50" t="inlineStr">
        <is>
          <t>●</t>
        </is>
      </c>
      <c r="L105" s="50" t="inlineStr"/>
      <c r="M105" s="50" t="inlineStr"/>
      <c r="N105" s="50" t="inlineStr"/>
      <c r="O105" s="52" t="n"/>
      <c r="P105" s="52" t="n"/>
      <c r="Q105" s="53" t="inlineStr"/>
    </row>
    <row r="106" ht="18" customHeight="1">
      <c r="A106" s="31" t="inlineStr">
        <is>
          <t xml:space="preserve">  ▶ 판넬 4 AC합계</t>
        </is>
      </c>
      <c r="D106" s="32" t="n"/>
      <c r="E106" s="33">
        <f>SUM(E89:E105)</f>
        <v/>
      </c>
      <c r="F106" s="32" t="n"/>
      <c r="G106" s="32" t="n"/>
      <c r="H106" s="32" t="n"/>
      <c r="I106" s="32" t="n"/>
      <c r="J106" s="33">
        <f>SUM(J89:J105)</f>
        <v/>
      </c>
      <c r="K106" s="32" t="n"/>
      <c r="L106" s="32" t="n"/>
      <c r="M106" s="32" t="n"/>
      <c r="N106" s="32" t="n"/>
      <c r="O106" s="34" t="n">
        <v>20</v>
      </c>
      <c r="P106" s="35" t="inlineStr">
        <is>
          <t>LS ABN20c</t>
        </is>
      </c>
      <c r="Q106" s="36">
        <f>TEXT(J106,"0.00")&amp;"A×안전계수("&amp;$F$2&amp;")="&amp;TEXT(J106*$F$2,"0.00")&amp;"A → 20A 선정"</f>
        <v/>
      </c>
    </row>
    <row r="107" ht="18" customHeight="1">
      <c r="A107" s="38" t="inlineStr">
        <is>
          <t xml:space="preserve">   ■ 파스텍 EziServo (AC 단상 입력) — 판넬 4</t>
        </is>
      </c>
    </row>
    <row r="108" ht="17" customHeight="1">
      <c r="A108" s="39" t="inlineStr">
        <is>
          <t>판넬4</t>
        </is>
      </c>
      <c r="B108" s="40" t="inlineStr">
        <is>
          <t>EZI_EC_XL_1</t>
        </is>
      </c>
      <c r="C108" s="40" t="inlineStr">
        <is>
          <t>Ezi-EC-42XL-A</t>
        </is>
      </c>
      <c r="D108" s="41">
        <f>IFERROR(VLOOKUP(C108,파나소닉A6규격!$A:$B,2,FALSE),"")</f>
        <v/>
      </c>
      <c r="E108" s="42">
        <f>IFERROR(VLOOKUP(C108,파나소닉A6규격!$A:$C,3,FALSE),IFERROR(VLOOKUP(C108,파스텍EziServo규격!$A:$B,2,FALSE),""))</f>
        <v/>
      </c>
      <c r="F108" s="11" t="n">
        <v>1</v>
      </c>
      <c r="G108" s="11" t="n">
        <v>0</v>
      </c>
      <c r="H108" s="11" t="n">
        <v>0</v>
      </c>
      <c r="I108" s="11" t="n">
        <v>0</v>
      </c>
      <c r="J108" s="43">
        <f>IF(E108="","",ROUND(E108*$H$2,3))</f>
        <v/>
      </c>
      <c r="K108" s="11" t="inlineStr"/>
      <c r="L108" s="11" t="inlineStr">
        <is>
          <t>●</t>
        </is>
      </c>
      <c r="M108" s="11" t="inlineStr"/>
      <c r="N108" s="11" t="inlineStr"/>
      <c r="O108" s="44" t="n"/>
      <c r="P108" s="44" t="n"/>
      <c r="Q108" s="45" t="inlineStr">
        <is>
          <t>판넬4 EziServo XL #1</t>
        </is>
      </c>
    </row>
    <row r="109" ht="17" customHeight="1">
      <c r="A109" s="39" t="inlineStr">
        <is>
          <t>판넬4</t>
        </is>
      </c>
      <c r="B109" s="40" t="inlineStr">
        <is>
          <t>EZI_EC_XL_2</t>
        </is>
      </c>
      <c r="C109" s="40" t="inlineStr">
        <is>
          <t>Ezi-EC-42XL-A</t>
        </is>
      </c>
      <c r="D109" s="41">
        <f>IFERROR(VLOOKUP(C109,파나소닉A6규격!$A:$B,2,FALSE),"")</f>
        <v/>
      </c>
      <c r="E109" s="42">
        <f>IFERROR(VLOOKUP(C109,파나소닉A6규격!$A:$C,3,FALSE),IFERROR(VLOOKUP(C109,파스텍EziServo규격!$A:$B,2,FALSE),""))</f>
        <v/>
      </c>
      <c r="F109" s="11" t="n">
        <v>1</v>
      </c>
      <c r="G109" s="11" t="n">
        <v>0</v>
      </c>
      <c r="H109" s="11" t="n">
        <v>0</v>
      </c>
      <c r="I109" s="11" t="n">
        <v>0</v>
      </c>
      <c r="J109" s="43">
        <f>IF(E109="","",ROUND(E109*$H$2,3))</f>
        <v/>
      </c>
      <c r="K109" s="11" t="inlineStr"/>
      <c r="L109" s="11" t="inlineStr">
        <is>
          <t>●</t>
        </is>
      </c>
      <c r="M109" s="11" t="inlineStr"/>
      <c r="N109" s="11" t="inlineStr"/>
      <c r="O109" s="44" t="n"/>
      <c r="P109" s="44" t="n"/>
      <c r="Q109" s="45" t="inlineStr">
        <is>
          <t>판넬4 EziServo XL #2</t>
        </is>
      </c>
    </row>
    <row r="110" ht="17" customHeight="1">
      <c r="A110" s="39" t="inlineStr">
        <is>
          <t>판넬4</t>
        </is>
      </c>
      <c r="B110" s="40" t="inlineStr">
        <is>
          <t>EZI_EC_XL_3</t>
        </is>
      </c>
      <c r="C110" s="40" t="inlineStr">
        <is>
          <t>Ezi-EC-42XL-A</t>
        </is>
      </c>
      <c r="D110" s="41">
        <f>IFERROR(VLOOKUP(C110,파나소닉A6규격!$A:$B,2,FALSE),"")</f>
        <v/>
      </c>
      <c r="E110" s="42">
        <f>IFERROR(VLOOKUP(C110,파나소닉A6규격!$A:$C,3,FALSE),IFERROR(VLOOKUP(C110,파스텍EziServo규격!$A:$B,2,FALSE),""))</f>
        <v/>
      </c>
      <c r="F110" s="11" t="n">
        <v>1</v>
      </c>
      <c r="G110" s="11" t="n">
        <v>0</v>
      </c>
      <c r="H110" s="11" t="n">
        <v>0</v>
      </c>
      <c r="I110" s="11" t="n">
        <v>0</v>
      </c>
      <c r="J110" s="43">
        <f>IF(E110="","",ROUND(E110*$H$2,3))</f>
        <v/>
      </c>
      <c r="K110" s="11" t="inlineStr"/>
      <c r="L110" s="11" t="inlineStr">
        <is>
          <t>●</t>
        </is>
      </c>
      <c r="M110" s="11" t="inlineStr"/>
      <c r="N110" s="11" t="inlineStr"/>
      <c r="O110" s="44" t="n"/>
      <c r="P110" s="44" t="n"/>
      <c r="Q110" s="45" t="inlineStr">
        <is>
          <t>판넬4 EziServo XL #3</t>
        </is>
      </c>
    </row>
    <row r="111" ht="17" customHeight="1">
      <c r="A111" s="39" t="inlineStr">
        <is>
          <t>판넬4</t>
        </is>
      </c>
      <c r="B111" s="40" t="inlineStr">
        <is>
          <t>EZI_EC_XL_4</t>
        </is>
      </c>
      <c r="C111" s="40" t="inlineStr">
        <is>
          <t>Ezi-EC-42XL-A</t>
        </is>
      </c>
      <c r="D111" s="41">
        <f>IFERROR(VLOOKUP(C111,파나소닉A6규격!$A:$B,2,FALSE),"")</f>
        <v/>
      </c>
      <c r="E111" s="42">
        <f>IFERROR(VLOOKUP(C111,파나소닉A6규격!$A:$C,3,FALSE),IFERROR(VLOOKUP(C111,파스텍EziServo규격!$A:$B,2,FALSE),""))</f>
        <v/>
      </c>
      <c r="F111" s="11" t="n">
        <v>1</v>
      </c>
      <c r="G111" s="11" t="n">
        <v>0</v>
      </c>
      <c r="H111" s="11" t="n">
        <v>0</v>
      </c>
      <c r="I111" s="11" t="n">
        <v>0</v>
      </c>
      <c r="J111" s="43">
        <f>IF(E111="","",ROUND(E111*$H$2,3))</f>
        <v/>
      </c>
      <c r="K111" s="11" t="inlineStr"/>
      <c r="L111" s="11" t="inlineStr">
        <is>
          <t>●</t>
        </is>
      </c>
      <c r="M111" s="11" t="inlineStr"/>
      <c r="N111" s="11" t="inlineStr"/>
      <c r="O111" s="44" t="n"/>
      <c r="P111" s="44" t="n"/>
      <c r="Q111" s="45" t="inlineStr">
        <is>
          <t>판넬4 EziServo XL #4</t>
        </is>
      </c>
    </row>
    <row r="112" ht="17" customHeight="1">
      <c r="A112" s="39" t="inlineStr">
        <is>
          <t>판넬4</t>
        </is>
      </c>
      <c r="B112" s="40" t="inlineStr">
        <is>
          <t>EZI_EC_M_1</t>
        </is>
      </c>
      <c r="C112" s="40" t="inlineStr">
        <is>
          <t>Ezi-EC-42M-A</t>
        </is>
      </c>
      <c r="D112" s="41">
        <f>IFERROR(VLOOKUP(C112,파나소닉A6규격!$A:$B,2,FALSE),"")</f>
        <v/>
      </c>
      <c r="E112" s="42">
        <f>IFERROR(VLOOKUP(C112,파나소닉A6규격!$A:$C,3,FALSE),IFERROR(VLOOKUP(C112,파스텍EziServo규격!$A:$B,2,FALSE),""))</f>
        <v/>
      </c>
      <c r="F112" s="11" t="n">
        <v>1</v>
      </c>
      <c r="G112" s="11" t="n">
        <v>0</v>
      </c>
      <c r="H112" s="11" t="n">
        <v>0</v>
      </c>
      <c r="I112" s="11" t="n">
        <v>0</v>
      </c>
      <c r="J112" s="43">
        <f>IF(E112="","",ROUND(E112*$H$2,3))</f>
        <v/>
      </c>
      <c r="K112" s="11" t="inlineStr"/>
      <c r="L112" s="11" t="inlineStr">
        <is>
          <t>●</t>
        </is>
      </c>
      <c r="M112" s="11" t="inlineStr"/>
      <c r="N112" s="11" t="inlineStr"/>
      <c r="O112" s="44" t="n"/>
      <c r="P112" s="44" t="n"/>
      <c r="Q112" s="45" t="inlineStr">
        <is>
          <t>판넬4 EziServo M #1</t>
        </is>
      </c>
    </row>
    <row r="113" ht="17" customHeight="1">
      <c r="A113" s="39" t="inlineStr">
        <is>
          <t>판넬4</t>
        </is>
      </c>
      <c r="B113" s="40" t="inlineStr">
        <is>
          <t>EZI_EC_M_2</t>
        </is>
      </c>
      <c r="C113" s="40" t="inlineStr">
        <is>
          <t>Ezi-EC-42M-A</t>
        </is>
      </c>
      <c r="D113" s="41">
        <f>IFERROR(VLOOKUP(C113,파나소닉A6규격!$A:$B,2,FALSE),"")</f>
        <v/>
      </c>
      <c r="E113" s="42">
        <f>IFERROR(VLOOKUP(C113,파나소닉A6규격!$A:$C,3,FALSE),IFERROR(VLOOKUP(C113,파스텍EziServo규격!$A:$B,2,FALSE),""))</f>
        <v/>
      </c>
      <c r="F113" s="11" t="n">
        <v>1</v>
      </c>
      <c r="G113" s="11" t="n">
        <v>0</v>
      </c>
      <c r="H113" s="11" t="n">
        <v>0</v>
      </c>
      <c r="I113" s="11" t="n">
        <v>0</v>
      </c>
      <c r="J113" s="43">
        <f>IF(E113="","",ROUND(E113*$H$2,3))</f>
        <v/>
      </c>
      <c r="K113" s="11" t="inlineStr"/>
      <c r="L113" s="11" t="inlineStr">
        <is>
          <t>●</t>
        </is>
      </c>
      <c r="M113" s="11" t="inlineStr"/>
      <c r="N113" s="11" t="inlineStr"/>
      <c r="O113" s="44" t="n"/>
      <c r="P113" s="44" t="n"/>
      <c r="Q113" s="45" t="inlineStr">
        <is>
          <t>판넬4 EziServo M #2</t>
        </is>
      </c>
    </row>
    <row r="114" ht="18" customHeight="1">
      <c r="A114" s="31" t="inlineStr">
        <is>
          <t xml:space="preserve">  ▶ 파스텍 전체 소계 (판넬1+3+4)</t>
        </is>
      </c>
      <c r="D114" s="44" t="n"/>
      <c r="E114" s="54">
        <f>SUM(E37:E38,E81:E86,E108:E113)</f>
        <v/>
      </c>
      <c r="F114" s="44" t="n"/>
      <c r="G114" s="44" t="n"/>
      <c r="H114" s="44" t="n"/>
      <c r="I114" s="44" t="n"/>
      <c r="J114" s="54">
        <f>SUM(J37:J38,J81:J86,J108:J113)</f>
        <v/>
      </c>
      <c r="K114" s="44" t="n"/>
      <c r="L114" s="44" t="n"/>
      <c r="M114" s="44" t="n"/>
      <c r="N114" s="44" t="n"/>
      <c r="O114" s="34" t="n">
        <v>20</v>
      </c>
      <c r="P114" s="35" t="inlineStr">
        <is>
          <t>LS ABN20c</t>
        </is>
      </c>
      <c r="Q114" s="36">
        <f>TEXT(J114,"0.00")&amp;"A×안전계수("&amp;$F$2&amp;")="&amp;TEXT(J114*$F$2,"0.00")&amp;"A → 20A 선정"</f>
        <v/>
      </c>
    </row>
    <row r="116" ht="18" customHeight="1">
      <c r="A116" s="55" t="inlineStr">
        <is>
          <t>■ DC 24V 부하 — 서보I/O · Brake · 센서 · 솔레노이드 · EZI-SPEED</t>
        </is>
      </c>
    </row>
    <row r="117" ht="17" customHeight="1">
      <c r="A117" s="56" t="inlineStr">
        <is>
          <t>공통-1P</t>
        </is>
      </c>
      <c r="B117" s="57" t="inlineStr">
        <is>
          <t>서보I/O (A6B)</t>
        </is>
      </c>
      <c r="C117" s="57" t="inlineStr">
        <is>
          <t>A6B I/O</t>
        </is>
      </c>
      <c r="D117" s="13" t="n">
        <v>0</v>
      </c>
      <c r="E117" s="58" t="n">
        <v>0.64</v>
      </c>
      <c r="F117" s="13" t="n">
        <v>1</v>
      </c>
      <c r="G117" s="13" t="n">
        <v>0</v>
      </c>
      <c r="H117" s="13" t="n">
        <v>0</v>
      </c>
      <c r="I117" s="13" t="n">
        <v>0</v>
      </c>
      <c r="J117" s="59" t="n">
        <v>0.64</v>
      </c>
      <c r="K117" s="13" t="inlineStr"/>
      <c r="L117" s="13" t="inlineStr"/>
      <c r="M117" s="13" t="inlineStr">
        <is>
          <t>●</t>
        </is>
      </c>
      <c r="N117" s="13" t="inlineStr"/>
      <c r="O117" s="60" t="n"/>
      <c r="P117" s="60" t="n"/>
      <c r="Q117" s="61" t="inlineStr">
        <is>
          <t>64축×10mA=640mA</t>
        </is>
      </c>
    </row>
    <row r="118" ht="17" customHeight="1">
      <c r="A118" s="56" t="inlineStr">
        <is>
          <t>공통-1P</t>
        </is>
      </c>
      <c r="B118" s="57" t="inlineStr">
        <is>
          <t>서보Brake</t>
        </is>
      </c>
      <c r="C118" s="57" t="inlineStr">
        <is>
          <t>Brake</t>
        </is>
      </c>
      <c r="D118" s="13" t="n">
        <v>0</v>
      </c>
      <c r="E118" s="58" t="n">
        <v>9</v>
      </c>
      <c r="F118" s="13" t="n">
        <v>1</v>
      </c>
      <c r="G118" s="13" t="n">
        <v>0</v>
      </c>
      <c r="H118" s="13" t="n">
        <v>0</v>
      </c>
      <c r="I118" s="13" t="n">
        <v>0</v>
      </c>
      <c r="J118" s="59" t="n">
        <v>9</v>
      </c>
      <c r="K118" s="13" t="inlineStr"/>
      <c r="L118" s="13" t="inlineStr"/>
      <c r="M118" s="13" t="inlineStr">
        <is>
          <t>●</t>
        </is>
      </c>
      <c r="N118" s="13" t="inlineStr"/>
      <c r="O118" s="60" t="n"/>
      <c r="P118" s="60" t="n"/>
      <c r="Q118" s="61" t="inlineStr">
        <is>
          <t>18개×500mA=9000mA</t>
        </is>
      </c>
    </row>
    <row r="119" ht="17" customHeight="1">
      <c r="A119" s="56" t="inlineStr">
        <is>
          <t>공통-1P</t>
        </is>
      </c>
      <c r="B119" s="57" t="inlineStr">
        <is>
          <t>리밋센서</t>
        </is>
      </c>
      <c r="C119" s="57" t="inlineStr">
        <is>
          <t>리밋센서</t>
        </is>
      </c>
      <c r="D119" s="13" t="n">
        <v>0</v>
      </c>
      <c r="E119" s="58" t="n">
        <v>0.64</v>
      </c>
      <c r="F119" s="13" t="n">
        <v>1</v>
      </c>
      <c r="G119" s="13" t="n">
        <v>0</v>
      </c>
      <c r="H119" s="13" t="n">
        <v>0</v>
      </c>
      <c r="I119" s="13" t="n">
        <v>0</v>
      </c>
      <c r="J119" s="59" t="n">
        <v>0.64</v>
      </c>
      <c r="K119" s="13" t="inlineStr"/>
      <c r="L119" s="13" t="inlineStr"/>
      <c r="M119" s="13" t="inlineStr">
        <is>
          <t>●</t>
        </is>
      </c>
      <c r="N119" s="13" t="inlineStr"/>
      <c r="O119" s="60" t="n"/>
      <c r="P119" s="60" t="n"/>
      <c r="Q119" s="61" t="inlineStr">
        <is>
          <t>64개×10mA=640mA</t>
        </is>
      </c>
    </row>
    <row r="120" ht="17" customHeight="1">
      <c r="A120" s="56" t="inlineStr">
        <is>
          <t>공통-1P</t>
        </is>
      </c>
      <c r="B120" s="57" t="inlineStr">
        <is>
          <t>호밍센서</t>
        </is>
      </c>
      <c r="C120" s="57" t="inlineStr">
        <is>
          <t>호밍센서</t>
        </is>
      </c>
      <c r="D120" s="13" t="n">
        <v>0</v>
      </c>
      <c r="E120" s="58" t="n">
        <v>0.06</v>
      </c>
      <c r="F120" s="13" t="n">
        <v>1</v>
      </c>
      <c r="G120" s="13" t="n">
        <v>0</v>
      </c>
      <c r="H120" s="13" t="n">
        <v>0</v>
      </c>
      <c r="I120" s="13" t="n">
        <v>0</v>
      </c>
      <c r="J120" s="59" t="n">
        <v>0.06</v>
      </c>
      <c r="K120" s="13" t="inlineStr"/>
      <c r="L120" s="13" t="inlineStr"/>
      <c r="M120" s="13" t="inlineStr">
        <is>
          <t>●</t>
        </is>
      </c>
      <c r="N120" s="13" t="inlineStr"/>
      <c r="O120" s="60" t="n"/>
      <c r="P120" s="60" t="n"/>
      <c r="Q120" s="61" t="inlineStr">
        <is>
          <t>6개×10mA=60mA</t>
        </is>
      </c>
    </row>
    <row r="121" ht="17" customHeight="1">
      <c r="A121" s="56" t="inlineStr">
        <is>
          <t>공통-2P</t>
        </is>
      </c>
      <c r="B121" s="57" t="inlineStr">
        <is>
          <t>도어</t>
        </is>
      </c>
      <c r="C121" s="57" t="inlineStr">
        <is>
          <t>도어스위치</t>
        </is>
      </c>
      <c r="D121" s="13" t="n">
        <v>0</v>
      </c>
      <c r="E121" s="58" t="n">
        <v>3</v>
      </c>
      <c r="F121" s="13" t="n">
        <v>1</v>
      </c>
      <c r="G121" s="13" t="n">
        <v>0</v>
      </c>
      <c r="H121" s="13" t="n">
        <v>0</v>
      </c>
      <c r="I121" s="13" t="n">
        <v>0</v>
      </c>
      <c r="J121" s="59" t="n">
        <v>3</v>
      </c>
      <c r="K121" s="13" t="inlineStr"/>
      <c r="L121" s="13" t="inlineStr"/>
      <c r="M121" s="13" t="inlineStr">
        <is>
          <t>●</t>
        </is>
      </c>
      <c r="N121" s="13" t="inlineStr"/>
      <c r="O121" s="60" t="n"/>
      <c r="P121" s="60" t="n"/>
      <c r="Q121" s="61" t="inlineStr">
        <is>
          <t>10개×300mA=3000mA</t>
        </is>
      </c>
    </row>
    <row r="122" ht="17" customHeight="1">
      <c r="A122" s="56" t="inlineStr">
        <is>
          <t>공통-2P</t>
        </is>
      </c>
      <c r="B122" s="57" t="inlineStr">
        <is>
          <t>I/O 모듈</t>
        </is>
      </c>
      <c r="C122" s="57" t="inlineStr">
        <is>
          <t>파스텍 IO단자대</t>
        </is>
      </c>
      <c r="D122" s="13" t="n">
        <v>0</v>
      </c>
      <c r="E122" s="58" t="n">
        <v>2.34</v>
      </c>
      <c r="F122" s="13" t="n">
        <v>1</v>
      </c>
      <c r="G122" s="13" t="n">
        <v>0</v>
      </c>
      <c r="H122" s="13" t="n">
        <v>0</v>
      </c>
      <c r="I122" s="13" t="n">
        <v>0</v>
      </c>
      <c r="J122" s="59" t="n">
        <v>2.34</v>
      </c>
      <c r="K122" s="13" t="inlineStr"/>
      <c r="L122" s="13" t="inlineStr"/>
      <c r="M122" s="13" t="inlineStr">
        <is>
          <t>●</t>
        </is>
      </c>
      <c r="N122" s="13" t="inlineStr"/>
      <c r="O122" s="60" t="n"/>
      <c r="P122" s="60" t="n"/>
      <c r="Q122" s="61" t="inlineStr">
        <is>
          <t>18개×130mA=2340mA</t>
        </is>
      </c>
    </row>
    <row r="123" ht="17" customHeight="1">
      <c r="A123" s="56" t="inlineStr">
        <is>
          <t>공통-2P</t>
        </is>
      </c>
      <c r="B123" s="57" t="inlineStr">
        <is>
          <t>입력부하(센서)</t>
        </is>
      </c>
      <c r="C123" s="57" t="inlineStr">
        <is>
          <t>포토/근접센서</t>
        </is>
      </c>
      <c r="D123" s="13" t="n">
        <v>0</v>
      </c>
      <c r="E123" s="58" t="n">
        <v>2.5</v>
      </c>
      <c r="F123" s="13" t="n">
        <v>1</v>
      </c>
      <c r="G123" s="13" t="n">
        <v>0</v>
      </c>
      <c r="H123" s="13" t="n">
        <v>0</v>
      </c>
      <c r="I123" s="13" t="n">
        <v>0</v>
      </c>
      <c r="J123" s="59" t="n">
        <v>2.5</v>
      </c>
      <c r="K123" s="13" t="inlineStr"/>
      <c r="L123" s="13" t="inlineStr"/>
      <c r="M123" s="13" t="inlineStr">
        <is>
          <t>●</t>
        </is>
      </c>
      <c r="N123" s="13" t="inlineStr"/>
      <c r="O123" s="60" t="n"/>
      <c r="P123" s="60" t="n"/>
      <c r="Q123" s="61" t="inlineStr">
        <is>
          <t>250개×10mA=2500mA</t>
        </is>
      </c>
    </row>
    <row r="124" ht="17" customHeight="1">
      <c r="A124" s="56" t="inlineStr">
        <is>
          <t>공통-2P</t>
        </is>
      </c>
      <c r="B124" s="57" t="inlineStr">
        <is>
          <t>출력부하</t>
        </is>
      </c>
      <c r="C124" s="57" t="inlineStr">
        <is>
          <t>릴레이·솔레노이드</t>
        </is>
      </c>
      <c r="D124" s="13" t="n">
        <v>0</v>
      </c>
      <c r="E124" s="58" t="n">
        <v>5.4</v>
      </c>
      <c r="F124" s="13" t="n">
        <v>1</v>
      </c>
      <c r="G124" s="13" t="n">
        <v>0</v>
      </c>
      <c r="H124" s="13" t="n">
        <v>0</v>
      </c>
      <c r="I124" s="13" t="n">
        <v>0</v>
      </c>
      <c r="J124" s="59" t="n">
        <v>5.4</v>
      </c>
      <c r="K124" s="13" t="inlineStr"/>
      <c r="L124" s="13" t="inlineStr"/>
      <c r="M124" s="13" t="inlineStr">
        <is>
          <t>●</t>
        </is>
      </c>
      <c r="N124" s="13" t="inlineStr"/>
      <c r="O124" s="60" t="n"/>
      <c r="P124" s="60" t="n"/>
      <c r="Q124" s="61" t="inlineStr">
        <is>
          <t>180개×30mA=5400mA</t>
        </is>
      </c>
    </row>
    <row r="125" ht="17" customHeight="1">
      <c r="A125" s="56" t="inlineStr">
        <is>
          <t>공통-3P</t>
        </is>
      </c>
      <c r="B125" s="57" t="inlineStr">
        <is>
          <t>LO_EV_TOP</t>
        </is>
      </c>
      <c r="C125" s="57" t="inlineStr">
        <is>
          <t>EZI-SPEED60H30CR100P</t>
        </is>
      </c>
      <c r="D125" s="13" t="n">
        <v>0</v>
      </c>
      <c r="E125" s="58" t="n">
        <v>1</v>
      </c>
      <c r="F125" s="13" t="n">
        <v>1</v>
      </c>
      <c r="G125" s="13" t="n">
        <v>0</v>
      </c>
      <c r="H125" s="13" t="n">
        <v>0</v>
      </c>
      <c r="I125" s="13" t="n">
        <v>0</v>
      </c>
      <c r="J125" s="59" t="n">
        <v>1</v>
      </c>
      <c r="K125" s="13" t="inlineStr"/>
      <c r="L125" s="13" t="inlineStr"/>
      <c r="M125" s="13" t="inlineStr">
        <is>
          <t>●</t>
        </is>
      </c>
      <c r="N125" s="13" t="inlineStr"/>
      <c r="O125" s="60" t="n"/>
      <c r="P125" s="60" t="n"/>
      <c r="Q125" s="61" t="inlineStr">
        <is>
          <t>LO이젝터 상부</t>
        </is>
      </c>
    </row>
    <row r="126" ht="17" customHeight="1">
      <c r="A126" s="56" t="inlineStr">
        <is>
          <t>공통-3P</t>
        </is>
      </c>
      <c r="B126" s="57" t="inlineStr">
        <is>
          <t>LO_EV_BOT</t>
        </is>
      </c>
      <c r="C126" s="57" t="inlineStr">
        <is>
          <t>EZI-SPEED60H30CR100P</t>
        </is>
      </c>
      <c r="D126" s="13" t="n">
        <v>0</v>
      </c>
      <c r="E126" s="58" t="n">
        <v>1</v>
      </c>
      <c r="F126" s="13" t="n">
        <v>1</v>
      </c>
      <c r="G126" s="13" t="n">
        <v>0</v>
      </c>
      <c r="H126" s="13" t="n">
        <v>0</v>
      </c>
      <c r="I126" s="13" t="n">
        <v>0</v>
      </c>
      <c r="J126" s="59" t="n">
        <v>1</v>
      </c>
      <c r="K126" s="13" t="inlineStr"/>
      <c r="L126" s="13" t="inlineStr"/>
      <c r="M126" s="13" t="inlineStr">
        <is>
          <t>●</t>
        </is>
      </c>
      <c r="N126" s="13" t="inlineStr"/>
      <c r="O126" s="60" t="n"/>
      <c r="P126" s="60" t="n"/>
      <c r="Q126" s="61" t="inlineStr">
        <is>
          <t>LO이젝터 하부</t>
        </is>
      </c>
    </row>
    <row r="127" ht="17" customHeight="1">
      <c r="A127" s="56" t="inlineStr">
        <is>
          <t>공통-3P</t>
        </is>
      </c>
      <c r="B127" s="57" t="inlineStr">
        <is>
          <t>GOOD_EV_TOP</t>
        </is>
      </c>
      <c r="C127" s="57" t="inlineStr">
        <is>
          <t>EZI-SPEED60H30CR100P</t>
        </is>
      </c>
      <c r="D127" s="13" t="n">
        <v>0</v>
      </c>
      <c r="E127" s="58" t="n">
        <v>1</v>
      </c>
      <c r="F127" s="13" t="n">
        <v>1</v>
      </c>
      <c r="G127" s="13" t="n">
        <v>0</v>
      </c>
      <c r="H127" s="13" t="n">
        <v>0</v>
      </c>
      <c r="I127" s="13" t="n">
        <v>0</v>
      </c>
      <c r="J127" s="59" t="n">
        <v>1</v>
      </c>
      <c r="K127" s="13" t="inlineStr"/>
      <c r="L127" s="13" t="inlineStr"/>
      <c r="M127" s="13" t="inlineStr">
        <is>
          <t>●</t>
        </is>
      </c>
      <c r="N127" s="13" t="inlineStr"/>
      <c r="O127" s="60" t="n"/>
      <c r="P127" s="60" t="n"/>
      <c r="Q127" s="61" t="inlineStr">
        <is>
          <t>GOOD이젝터 상부</t>
        </is>
      </c>
    </row>
    <row r="128" ht="17" customHeight="1">
      <c r="A128" s="56" t="inlineStr">
        <is>
          <t>공통-3P</t>
        </is>
      </c>
      <c r="B128" s="57" t="inlineStr">
        <is>
          <t>GOOD_EV_BOT</t>
        </is>
      </c>
      <c r="C128" s="57" t="inlineStr">
        <is>
          <t>EZI-SPEED60H30CR100P</t>
        </is>
      </c>
      <c r="D128" s="13" t="n">
        <v>0</v>
      </c>
      <c r="E128" s="58" t="n">
        <v>1</v>
      </c>
      <c r="F128" s="13" t="n">
        <v>1</v>
      </c>
      <c r="G128" s="13" t="n">
        <v>0</v>
      </c>
      <c r="H128" s="13" t="n">
        <v>0</v>
      </c>
      <c r="I128" s="13" t="n">
        <v>0</v>
      </c>
      <c r="J128" s="59" t="n">
        <v>1</v>
      </c>
      <c r="K128" s="13" t="inlineStr"/>
      <c r="L128" s="13" t="inlineStr"/>
      <c r="M128" s="13" t="inlineStr">
        <is>
          <t>●</t>
        </is>
      </c>
      <c r="N128" s="13" t="inlineStr"/>
      <c r="O128" s="60" t="n"/>
      <c r="P128" s="60" t="n"/>
      <c r="Q128" s="61" t="inlineStr">
        <is>
          <t>GOOD이젝터 하부</t>
        </is>
      </c>
    </row>
    <row r="129" ht="17" customHeight="1">
      <c r="A129" s="56" t="inlineStr">
        <is>
          <t>공통-3P</t>
        </is>
      </c>
      <c r="B129" s="57" t="inlineStr">
        <is>
          <t>NG_EV_TOP</t>
        </is>
      </c>
      <c r="C129" s="57" t="inlineStr">
        <is>
          <t>EZI-SPEED60H30CR100P</t>
        </is>
      </c>
      <c r="D129" s="13" t="n">
        <v>0</v>
      </c>
      <c r="E129" s="58" t="n">
        <v>1</v>
      </c>
      <c r="F129" s="13" t="n">
        <v>1</v>
      </c>
      <c r="G129" s="13" t="n">
        <v>0</v>
      </c>
      <c r="H129" s="13" t="n">
        <v>0</v>
      </c>
      <c r="I129" s="13" t="n">
        <v>0</v>
      </c>
      <c r="J129" s="59" t="n">
        <v>1</v>
      </c>
      <c r="K129" s="13" t="inlineStr"/>
      <c r="L129" s="13" t="inlineStr"/>
      <c r="M129" s="13" t="inlineStr">
        <is>
          <t>●</t>
        </is>
      </c>
      <c r="N129" s="13" t="inlineStr"/>
      <c r="O129" s="60" t="n"/>
      <c r="P129" s="60" t="n"/>
      <c r="Q129" s="61" t="inlineStr">
        <is>
          <t>NG이젝터 상부</t>
        </is>
      </c>
    </row>
    <row r="130" ht="17" customHeight="1">
      <c r="A130" s="56" t="inlineStr">
        <is>
          <t>공통-3P</t>
        </is>
      </c>
      <c r="B130" s="57" t="inlineStr">
        <is>
          <t>NG_EV_BOT</t>
        </is>
      </c>
      <c r="C130" s="57" t="inlineStr">
        <is>
          <t>EZI-SPEED60H30CR100P</t>
        </is>
      </c>
      <c r="D130" s="13" t="n">
        <v>0</v>
      </c>
      <c r="E130" s="58" t="n">
        <v>1</v>
      </c>
      <c r="F130" s="13" t="n">
        <v>1</v>
      </c>
      <c r="G130" s="13" t="n">
        <v>0</v>
      </c>
      <c r="H130" s="13" t="n">
        <v>0</v>
      </c>
      <c r="I130" s="13" t="n">
        <v>0</v>
      </c>
      <c r="J130" s="59" t="n">
        <v>1</v>
      </c>
      <c r="K130" s="13" t="inlineStr"/>
      <c r="L130" s="13" t="inlineStr"/>
      <c r="M130" s="13" t="inlineStr">
        <is>
          <t>●</t>
        </is>
      </c>
      <c r="N130" s="13" t="inlineStr"/>
      <c r="O130" s="60" t="n"/>
      <c r="P130" s="60" t="n"/>
      <c r="Q130" s="61" t="inlineStr">
        <is>
          <t>NG이젝터 하부</t>
        </is>
      </c>
    </row>
    <row r="131" ht="17" customHeight="1">
      <c r="A131" s="62" t="inlineStr">
        <is>
          <t xml:space="preserve">  ▶ DC 24V 부하 소계</t>
        </is>
      </c>
      <c r="D131" s="32" t="n"/>
      <c r="E131" s="33">
        <f>SUM(E117:E130)</f>
        <v/>
      </c>
      <c r="F131" s="32" t="n"/>
      <c r="G131" s="32" t="n"/>
      <c r="H131" s="32" t="n"/>
      <c r="I131" s="32" t="n"/>
      <c r="J131" s="33">
        <f>SUM(J117:J130)</f>
        <v/>
      </c>
      <c r="K131" s="32" t="n"/>
      <c r="L131" s="32" t="n"/>
      <c r="M131" s="32" t="n"/>
      <c r="N131" s="32" t="n"/>
      <c r="O131" s="32" t="n"/>
      <c r="P131" s="32" t="n"/>
      <c r="Q131" s="63" t="inlineStr">
        <is>
          <t>DC 전원장치: 1P=10.34A / 2P=13.24A / 3P(EZI-SPEED)=6.0A → 각 SMPS 별도 선정</t>
        </is>
      </c>
    </row>
    <row r="133" ht="18" customHeight="1">
      <c r="A133" s="64" t="inlineStr">
        <is>
          <t>■ 기타 부하 — UPS · 조명CTRL · SMPS (AC 단상 220V)</t>
        </is>
      </c>
    </row>
    <row r="134" ht="17" customHeight="1">
      <c r="A134" s="65" t="inlineStr">
        <is>
          <t>공통</t>
        </is>
      </c>
      <c r="B134" s="66" t="inlineStr">
        <is>
          <t>UPS 950VA</t>
        </is>
      </c>
      <c r="C134" s="66" t="inlineStr">
        <is>
          <t>BX950MI-GR</t>
        </is>
      </c>
      <c r="D134" s="15" t="n">
        <v>0</v>
      </c>
      <c r="E134" s="67" t="n">
        <v>1.5</v>
      </c>
      <c r="F134" s="15" t="n">
        <v>1</v>
      </c>
      <c r="G134" s="15" t="n">
        <v>0</v>
      </c>
      <c r="H134" s="15" t="n">
        <v>0</v>
      </c>
      <c r="I134" s="15" t="n">
        <v>0</v>
      </c>
      <c r="J134" s="68" t="n">
        <v>1.5</v>
      </c>
      <c r="K134" s="15" t="inlineStr"/>
      <c r="L134" s="15" t="inlineStr">
        <is>
          <t>●</t>
        </is>
      </c>
      <c r="M134" s="15" t="inlineStr"/>
      <c r="N134" s="15" t="inlineStr"/>
      <c r="O134" s="69" t="n"/>
      <c r="P134" s="69" t="n"/>
      <c r="Q134" s="70" t="inlineStr">
        <is>
          <t>AC단상 220V</t>
        </is>
      </c>
    </row>
    <row r="135" ht="17" customHeight="1">
      <c r="A135" s="65" t="inlineStr">
        <is>
          <t>공통</t>
        </is>
      </c>
      <c r="B135" s="66" t="inlineStr">
        <is>
          <t>UPS 1600VA</t>
        </is>
      </c>
      <c r="C135" s="66" t="inlineStr">
        <is>
          <t>BX1600MI-GR</t>
        </is>
      </c>
      <c r="D135" s="15" t="n">
        <v>0</v>
      </c>
      <c r="E135" s="67" t="n">
        <v>4.5</v>
      </c>
      <c r="F135" s="15" t="n">
        <v>1</v>
      </c>
      <c r="G135" s="15" t="n">
        <v>0</v>
      </c>
      <c r="H135" s="15" t="n">
        <v>0</v>
      </c>
      <c r="I135" s="15" t="n">
        <v>0</v>
      </c>
      <c r="J135" s="68" t="n">
        <v>4.5</v>
      </c>
      <c r="K135" s="15" t="inlineStr"/>
      <c r="L135" s="15" t="inlineStr">
        <is>
          <t>●</t>
        </is>
      </c>
      <c r="M135" s="15" t="inlineStr"/>
      <c r="N135" s="15" t="inlineStr"/>
      <c r="O135" s="69" t="n"/>
      <c r="P135" s="69" t="n"/>
      <c r="Q135" s="70" t="inlineStr">
        <is>
          <t>3대 각각 별도 차단기</t>
        </is>
      </c>
    </row>
    <row r="136" ht="17" customHeight="1">
      <c r="A136" s="65" t="inlineStr">
        <is>
          <t>공통</t>
        </is>
      </c>
      <c r="B136" s="66" t="inlineStr">
        <is>
          <t>조명CTRL</t>
        </is>
      </c>
      <c r="C136" s="66" t="inlineStr">
        <is>
          <t>POD-22024-4-PEI-LKCB</t>
        </is>
      </c>
      <c r="D136" s="15" t="n">
        <v>0</v>
      </c>
      <c r="E136" s="67" t="n">
        <v>5</v>
      </c>
      <c r="F136" s="15" t="n">
        <v>1</v>
      </c>
      <c r="G136" s="15" t="n">
        <v>0</v>
      </c>
      <c r="H136" s="15" t="n">
        <v>1</v>
      </c>
      <c r="I136" s="15" t="n">
        <v>0</v>
      </c>
      <c r="J136" s="68" t="n">
        <v>5</v>
      </c>
      <c r="K136" s="15" t="inlineStr"/>
      <c r="L136" s="15" t="inlineStr">
        <is>
          <t>●</t>
        </is>
      </c>
      <c r="M136" s="15" t="inlineStr"/>
      <c r="N136" s="15" t="inlineStr"/>
      <c r="O136" s="69" t="n"/>
      <c r="P136" s="69" t="n"/>
      <c r="Q136" s="70" t="inlineStr">
        <is>
          <t>10개×500mA → 10A MCB</t>
        </is>
      </c>
    </row>
    <row r="137" ht="17" customHeight="1">
      <c r="A137" s="65" t="inlineStr">
        <is>
          <t>공통</t>
        </is>
      </c>
      <c r="B137" s="66" t="inlineStr">
        <is>
          <t>SMPS 24V 20A</t>
        </is>
      </c>
      <c r="C137" s="66" t="inlineStr">
        <is>
          <t>PRO ECO 480W 24V 20A</t>
        </is>
      </c>
      <c r="D137" s="15" t="n">
        <v>0</v>
      </c>
      <c r="E137" s="67" t="n">
        <v>2.4</v>
      </c>
      <c r="F137" s="15" t="n">
        <v>1</v>
      </c>
      <c r="G137" s="15" t="n">
        <v>0</v>
      </c>
      <c r="H137" s="15" t="n">
        <v>0</v>
      </c>
      <c r="I137" s="15" t="n">
        <v>1</v>
      </c>
      <c r="J137" s="68" t="n">
        <v>2.4</v>
      </c>
      <c r="K137" s="15" t="inlineStr"/>
      <c r="L137" s="15" t="inlineStr">
        <is>
          <t>●</t>
        </is>
      </c>
      <c r="M137" s="15" t="inlineStr"/>
      <c r="N137" s="15" t="inlineStr"/>
      <c r="O137" s="69" t="n"/>
      <c r="P137" s="69" t="n"/>
      <c r="Q137" s="70" t="inlineStr">
        <is>
          <t>2대×2.4A</t>
        </is>
      </c>
    </row>
    <row r="138" ht="17" customHeight="1">
      <c r="A138" s="65" t="inlineStr">
        <is>
          <t>공통</t>
        </is>
      </c>
      <c r="B138" s="66" t="inlineStr">
        <is>
          <t>SMPS 24V 10A</t>
        </is>
      </c>
      <c r="C138" s="66" t="inlineStr">
        <is>
          <t>PRO ECO 480W 24V 10A</t>
        </is>
      </c>
      <c r="D138" s="15" t="n">
        <v>0</v>
      </c>
      <c r="E138" s="67" t="n">
        <v>1.2</v>
      </c>
      <c r="F138" s="15" t="n">
        <v>1</v>
      </c>
      <c r="G138" s="15" t="n">
        <v>1</v>
      </c>
      <c r="H138" s="15" t="n">
        <v>0</v>
      </c>
      <c r="I138" s="15" t="n">
        <v>0</v>
      </c>
      <c r="J138" s="68" t="n">
        <v>1.2</v>
      </c>
      <c r="K138" s="15" t="inlineStr"/>
      <c r="L138" s="15" t="inlineStr">
        <is>
          <t>●</t>
        </is>
      </c>
      <c r="M138" s="15" t="inlineStr"/>
      <c r="N138" s="15" t="inlineStr"/>
      <c r="O138" s="69" t="n"/>
      <c r="P138" s="69" t="n"/>
      <c r="Q138" s="70" t="inlineStr">
        <is>
          <t>1대×1.2A</t>
        </is>
      </c>
    </row>
    <row r="139" ht="17" customHeight="1">
      <c r="A139" s="65" t="inlineStr">
        <is>
          <t>공통</t>
        </is>
      </c>
      <c r="B139" s="66" t="inlineStr">
        <is>
          <t>HMI/PC</t>
        </is>
      </c>
      <c r="C139" s="66" t="inlineStr">
        <is>
          <t>(직접 입력)</t>
        </is>
      </c>
      <c r="D139" s="15" t="n">
        <v>0</v>
      </c>
      <c r="E139" s="67" t="n">
        <v>0</v>
      </c>
      <c r="F139" s="15" t="n">
        <v>1</v>
      </c>
      <c r="G139" s="15" t="n">
        <v>0</v>
      </c>
      <c r="H139" s="15" t="n">
        <v>0</v>
      </c>
      <c r="I139" s="15" t="n">
        <v>0</v>
      </c>
      <c r="J139" s="68" t="n">
        <v>0</v>
      </c>
      <c r="K139" s="15" t="inlineStr"/>
      <c r="L139" s="15" t="inlineStr">
        <is>
          <t>●</t>
        </is>
      </c>
      <c r="M139" s="15" t="inlineStr"/>
      <c r="N139" s="15" t="inlineStr"/>
      <c r="O139" s="69" t="n"/>
      <c r="P139" s="69" t="n"/>
      <c r="Q139" s="70" t="inlineStr">
        <is>
          <t>← 실측값 입력</t>
        </is>
      </c>
    </row>
    <row r="140" ht="17" customHeight="1">
      <c r="A140" s="65" t="inlineStr">
        <is>
          <t>공통</t>
        </is>
      </c>
      <c r="B140" s="66" t="inlineStr">
        <is>
          <t>기타</t>
        </is>
      </c>
      <c r="C140" s="66" t="inlineStr">
        <is>
          <t>(직접 입력)</t>
        </is>
      </c>
      <c r="D140" s="15" t="n">
        <v>0</v>
      </c>
      <c r="E140" s="67" t="n">
        <v>0</v>
      </c>
      <c r="F140" s="15" t="n">
        <v>1</v>
      </c>
      <c r="G140" s="15" t="n">
        <v>0</v>
      </c>
      <c r="H140" s="15" t="n">
        <v>0</v>
      </c>
      <c r="I140" s="15" t="n">
        <v>0</v>
      </c>
      <c r="J140" s="68" t="n">
        <v>0</v>
      </c>
      <c r="K140" s="15" t="inlineStr"/>
      <c r="L140" s="15" t="inlineStr"/>
      <c r="M140" s="15" t="inlineStr"/>
      <c r="N140" s="15" t="inlineStr"/>
      <c r="O140" s="69" t="n"/>
      <c r="P140" s="69" t="n"/>
      <c r="Q140" s="70" t="inlineStr">
        <is>
          <t>← 실측값 입력</t>
        </is>
      </c>
    </row>
    <row r="141" ht="17" customHeight="1">
      <c r="A141" s="71" t="inlineStr">
        <is>
          <t xml:space="preserve">  ▶ 기타 부하 소계</t>
        </is>
      </c>
      <c r="D141" s="32" t="n"/>
      <c r="E141" s="33">
        <f>SUM(E134:E140)</f>
        <v/>
      </c>
      <c r="F141" s="32" t="n"/>
      <c r="G141" s="32" t="n"/>
      <c r="H141" s="32" t="n"/>
      <c r="I141" s="32" t="n"/>
      <c r="J141" s="33">
        <f>SUM(J134:J140)</f>
        <v/>
      </c>
      <c r="K141" s="32" t="n"/>
      <c r="L141" s="32" t="n"/>
      <c r="M141" s="32" t="n"/>
      <c r="N141" s="32" t="n"/>
      <c r="O141" s="32" t="n"/>
      <c r="P141" s="32" t="n"/>
      <c r="Q141" s="63" t="inlineStr">
        <is>
          <t>UPS 대당 별도 차단기 / 조명CTRL 10A MCB 권장</t>
        </is>
      </c>
    </row>
    <row r="143" ht="18" customHeight="1">
      <c r="A143" s="72" t="inlineStr">
        <is>
          <t>■ 전체 합계 — AC 3상 220V (판넬 1+2+3+4 합산)</t>
        </is>
      </c>
    </row>
    <row r="144" ht="22" customHeight="1">
      <c r="A144" s="72" t="inlineStr">
        <is>
          <t xml:space="preserve">  ▶ AC 3상 전체 합계</t>
        </is>
      </c>
      <c r="D144" s="32" t="n"/>
      <c r="E144" s="73">
        <f>E34+E54+E78+E106</f>
        <v/>
      </c>
      <c r="F144" s="32" t="n"/>
      <c r="G144" s="32" t="n"/>
      <c r="H144" s="32" t="n"/>
      <c r="I144" s="32" t="n"/>
      <c r="J144" s="73">
        <f>J34+J54+J78+J106</f>
        <v/>
      </c>
      <c r="K144" s="32" t="n"/>
      <c r="L144" s="32" t="n"/>
      <c r="M144" s="32" t="n"/>
      <c r="N144" s="32" t="n"/>
      <c r="O144" s="34" t="inlineStr">
        <is>
          <t>→ 메인 차단기</t>
        </is>
      </c>
      <c r="P144" s="35" t="inlineStr">
        <is>
          <t>LS ABN75c</t>
        </is>
      </c>
      <c r="Q144" s="36">
        <f>TEXT(J144,"0.00")&amp;"A × 안전계수("&amp;$F$2&amp;") = "&amp;TEXT(J144*$F$2,"0.00")&amp;"A  |  kVA = "&amp;TEXT(E144*220*SQRT(3)/1000,"0.00")&amp;"kVA  (역률반영: kW="&amp;TEXT(E144*220*SQRT(3)/1000*$D$2,"0.00")&amp;"kW)"</f>
        <v/>
      </c>
    </row>
  </sheetData>
  <mergeCells count="36">
    <mergeCell ref="O18:O19"/>
    <mergeCell ref="A40:Q40"/>
    <mergeCell ref="A143:Q143"/>
    <mergeCell ref="B18:B19"/>
    <mergeCell ref="Q18:Q19"/>
    <mergeCell ref="A11:Q11"/>
    <mergeCell ref="A107:Q107"/>
    <mergeCell ref="A1:Q1"/>
    <mergeCell ref="F18:F19"/>
    <mergeCell ref="A36:Q36"/>
    <mergeCell ref="A88:Q88"/>
    <mergeCell ref="I18:I19"/>
    <mergeCell ref="K18:N18"/>
    <mergeCell ref="A141:C141"/>
    <mergeCell ref="A131:C131"/>
    <mergeCell ref="A106:C106"/>
    <mergeCell ref="A144:C144"/>
    <mergeCell ref="A18:A19"/>
    <mergeCell ref="G18:G19"/>
    <mergeCell ref="A80:Q80"/>
    <mergeCell ref="A133:Q133"/>
    <mergeCell ref="A56:Q56"/>
    <mergeCell ref="D18:D19"/>
    <mergeCell ref="J18:J19"/>
    <mergeCell ref="A114:C114"/>
    <mergeCell ref="A34:C34"/>
    <mergeCell ref="P18:P19"/>
    <mergeCell ref="A116:Q116"/>
    <mergeCell ref="H18:H19"/>
    <mergeCell ref="E18:E19"/>
    <mergeCell ref="A4:Q4"/>
    <mergeCell ref="A20:Q20"/>
    <mergeCell ref="A78:C78"/>
    <mergeCell ref="C18:C19"/>
    <mergeCell ref="K2:Q2"/>
    <mergeCell ref="A54:C5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2" customWidth="1" min="3" max="3"/>
    <col width="14" customWidth="1" min="4" max="4"/>
    <col width="14" customWidth="1" min="5" max="5"/>
    <col width="14" customWidth="1" min="6" max="6"/>
    <col width="12" customWidth="1" min="7" max="7"/>
    <col width="16" customWidth="1" min="8" max="8"/>
    <col width="14" customWidth="1" min="9" max="9"/>
    <col width="12" customWidth="1" min="10" max="10"/>
  </cols>
  <sheetData>
    <row r="1" ht="22" customHeight="1">
      <c r="A1" s="74" t="inlineStr">
        <is>
          <t>파나소닉 A6 서보드라이버 정격입력전류 (카탈로그 기준, 3상 AC200V)</t>
        </is>
      </c>
    </row>
    <row r="2" ht="20" customHeight="1">
      <c r="A2" s="21" t="inlineStr">
        <is>
          <t>드라이버 모델</t>
        </is>
      </c>
      <c r="B2" s="21" t="inlineStr">
        <is>
          <t>정격출력 (W)</t>
        </is>
      </c>
      <c r="C2" s="21" t="inlineStr">
        <is>
          <t>정격입력전류 (A)</t>
        </is>
      </c>
      <c r="D2" s="21" t="inlineStr">
        <is>
          <t>비고</t>
        </is>
      </c>
    </row>
    <row r="3" ht="16" customHeight="1">
      <c r="A3" s="9" t="inlineStr">
        <is>
          <t>MADLN05BE</t>
        </is>
      </c>
      <c r="B3" s="9" t="n">
        <v>50</v>
      </c>
      <c r="C3" s="9" t="n">
        <v>0.3</v>
      </c>
      <c r="D3" s="25" t="inlineStr">
        <is>
          <t>50W 서보드라이버</t>
        </is>
      </c>
    </row>
    <row r="4" ht="16" customHeight="1">
      <c r="A4" s="75" t="inlineStr">
        <is>
          <t>MADLN10BE</t>
        </is>
      </c>
      <c r="B4" s="75" t="n">
        <v>100</v>
      </c>
      <c r="C4" s="75" t="n">
        <v>0.5</v>
      </c>
      <c r="D4" s="76" t="inlineStr">
        <is>
          <t>100W 서보드라이버</t>
        </is>
      </c>
    </row>
    <row r="5" ht="16" customHeight="1">
      <c r="A5" s="9" t="inlineStr">
        <is>
          <t>MADLN15BE</t>
        </is>
      </c>
      <c r="B5" s="9" t="n">
        <v>200</v>
      </c>
      <c r="C5" s="9" t="n">
        <v>1</v>
      </c>
      <c r="D5" s="25" t="inlineStr">
        <is>
          <t>200W 서보드라이버</t>
        </is>
      </c>
    </row>
    <row r="6" ht="16" customHeight="1">
      <c r="A6" s="75" t="inlineStr">
        <is>
          <t>MBDLN25BE</t>
        </is>
      </c>
      <c r="B6" s="75" t="n">
        <v>400</v>
      </c>
      <c r="C6" s="75" t="n">
        <v>1.5</v>
      </c>
      <c r="D6" s="76" t="inlineStr">
        <is>
          <t>400W 서보드라이버</t>
        </is>
      </c>
    </row>
    <row r="7" ht="16" customHeight="1">
      <c r="A7" s="9" t="inlineStr">
        <is>
          <t>MCDLN35BL</t>
        </is>
      </c>
      <c r="B7" s="9" t="n">
        <v>750</v>
      </c>
      <c r="C7" s="9" t="n">
        <v>2.4</v>
      </c>
      <c r="D7" s="25" t="inlineStr">
        <is>
          <t>750W 서보드라이버 (BL)</t>
        </is>
      </c>
    </row>
    <row r="8" ht="16" customHeight="1">
      <c r="A8" s="75" t="inlineStr">
        <is>
          <t>MCDLN35BE</t>
        </is>
      </c>
      <c r="B8" s="75" t="n">
        <v>750</v>
      </c>
      <c r="C8" s="75" t="n">
        <v>2.4</v>
      </c>
      <c r="D8" s="76" t="inlineStr">
        <is>
          <t>750W 서보드라이버 (BE)</t>
        </is>
      </c>
    </row>
    <row r="9" ht="16" customHeight="1">
      <c r="A9" s="9" t="inlineStr">
        <is>
          <t>MDDLN55BL</t>
        </is>
      </c>
      <c r="B9" s="9" t="n">
        <v>1000</v>
      </c>
      <c r="C9" s="9" t="n">
        <v>3.4</v>
      </c>
      <c r="D9" s="25" t="inlineStr">
        <is>
          <t>1kW 서보드라이버 (BL)</t>
        </is>
      </c>
    </row>
    <row r="10" ht="16" customHeight="1">
      <c r="A10" s="75" t="inlineStr">
        <is>
          <t>MDDLN55BE</t>
        </is>
      </c>
      <c r="B10" s="75" t="n">
        <v>1000</v>
      </c>
      <c r="C10" s="75" t="n">
        <v>3.4</v>
      </c>
      <c r="D10" s="76" t="inlineStr">
        <is>
          <t>1kW 서보드라이버 (BE)</t>
        </is>
      </c>
    </row>
    <row r="11" ht="16" customHeight="1">
      <c r="A11" s="9" t="inlineStr">
        <is>
          <t>MDDLN85BL</t>
        </is>
      </c>
      <c r="B11" s="9" t="n">
        <v>1500</v>
      </c>
      <c r="C11" s="9" t="n">
        <v>5.5</v>
      </c>
      <c r="D11" s="25" t="inlineStr">
        <is>
          <t>1.5kW 서보드라이버 (BL)</t>
        </is>
      </c>
    </row>
    <row r="13">
      <c r="A13" s="77" t="inlineStr">
        <is>
          <t>※ A열 모델명과 메인시트 C열 코드 정확히 일치 필요  |  카탈로그 정격입력전류 기준  |  모델 추가 시 이 시트에 행 추가</t>
        </is>
      </c>
    </row>
    <row r="15" ht="18" customHeight="1">
      <c r="A15" s="78" t="inlineStr">
        <is>
          <t>파나소닉 A6 서보드라이버 규격표 (MINAS A6 Series)</t>
        </is>
      </c>
    </row>
    <row r="16">
      <c r="A16" s="37" t="inlineStr">
        <is>
          <t>드라이버 모델</t>
        </is>
      </c>
      <c r="B16" s="37" t="inlineStr">
        <is>
          <t>대응 모터</t>
        </is>
      </c>
      <c r="C16" s="37" t="inlineStr">
        <is>
          <t>정격출력(W)</t>
        </is>
      </c>
      <c r="D16" s="37" t="inlineStr">
        <is>
          <t>전원</t>
        </is>
      </c>
      <c r="E16" s="37" t="inlineStr">
        <is>
          <t>정격입력전류(A)</t>
        </is>
      </c>
      <c r="F16" s="37" t="inlineStr">
        <is>
          <t>최대입력전류(A)</t>
        </is>
      </c>
      <c r="G16" s="37" t="inlineStr">
        <is>
          <t>제어방식</t>
        </is>
      </c>
      <c r="H16" s="37" t="inlineStr">
        <is>
          <t>통신</t>
        </is>
      </c>
      <c r="I16" s="37" t="inlineStr">
        <is>
          <t>특이사항</t>
        </is>
      </c>
      <c r="J16" s="37" t="inlineStr">
        <is>
          <t>비고</t>
        </is>
      </c>
    </row>
    <row r="17" ht="14" customHeight="1">
      <c r="A17" s="79" t="inlineStr">
        <is>
          <t>MADLN05BE</t>
        </is>
      </c>
      <c r="B17" s="79" t="inlineStr">
        <is>
          <t>MSMF/MQMF 50W</t>
        </is>
      </c>
      <c r="C17" s="79" t="n">
        <v>50</v>
      </c>
      <c r="D17" s="79" t="inlineStr">
        <is>
          <t>AC3상 200V</t>
        </is>
      </c>
      <c r="E17" s="79" t="n">
        <v>0.3</v>
      </c>
      <c r="F17" s="79" t="n">
        <v>0.8</v>
      </c>
      <c r="G17" s="79" t="inlineStr">
        <is>
          <t>Full-Closed</t>
        </is>
      </c>
      <c r="H17" s="79" t="inlineStr">
        <is>
          <t>EtherCAT/Modbus</t>
        </is>
      </c>
      <c r="I17" s="80" t="inlineStr">
        <is>
          <t>소형 단축용</t>
        </is>
      </c>
      <c r="J17" s="79" t="n"/>
    </row>
    <row r="18" ht="14" customHeight="1">
      <c r="A18" s="81" t="inlineStr">
        <is>
          <t>MADLN10BE</t>
        </is>
      </c>
      <c r="B18" s="81" t="inlineStr">
        <is>
          <t>MSMF/MQMF 100W</t>
        </is>
      </c>
      <c r="C18" s="81" t="n">
        <v>100</v>
      </c>
      <c r="D18" s="81" t="inlineStr">
        <is>
          <t>AC3상 200V</t>
        </is>
      </c>
      <c r="E18" s="81" t="n">
        <v>0.5</v>
      </c>
      <c r="F18" s="81" t="n">
        <v>1.2</v>
      </c>
      <c r="G18" s="81" t="inlineStr">
        <is>
          <t>Full-Closed</t>
        </is>
      </c>
      <c r="H18" s="81" t="inlineStr">
        <is>
          <t>EtherCAT/Modbus</t>
        </is>
      </c>
      <c r="I18" s="82" t="n"/>
      <c r="J18" s="81" t="n"/>
    </row>
    <row r="19" ht="14" customHeight="1">
      <c r="A19" s="79" t="inlineStr">
        <is>
          <t>MADLN15BE</t>
        </is>
      </c>
      <c r="B19" s="79" t="inlineStr">
        <is>
          <t>MSMF/MQMF 200W</t>
        </is>
      </c>
      <c r="C19" s="79" t="n">
        <v>200</v>
      </c>
      <c r="D19" s="79" t="inlineStr">
        <is>
          <t>AC3상 200V</t>
        </is>
      </c>
      <c r="E19" s="79" t="n">
        <v>1</v>
      </c>
      <c r="F19" s="79" t="n">
        <v>2.4</v>
      </c>
      <c r="G19" s="79" t="inlineStr">
        <is>
          <t>Full-Closed</t>
        </is>
      </c>
      <c r="H19" s="79" t="inlineStr">
        <is>
          <t>EtherCAT/Modbus</t>
        </is>
      </c>
      <c r="I19" s="80" t="n"/>
      <c r="J19" s="79" t="n"/>
    </row>
    <row r="20" ht="14" customHeight="1">
      <c r="A20" s="81" t="inlineStr">
        <is>
          <t>MBDLN25BE</t>
        </is>
      </c>
      <c r="B20" s="81" t="inlineStr">
        <is>
          <t>MSMF/MQMF 400W</t>
        </is>
      </c>
      <c r="C20" s="81" t="n">
        <v>400</v>
      </c>
      <c r="D20" s="81" t="inlineStr">
        <is>
          <t>AC3상 200V</t>
        </is>
      </c>
      <c r="E20" s="81" t="n">
        <v>1.5</v>
      </c>
      <c r="F20" s="81" t="n">
        <v>4</v>
      </c>
      <c r="G20" s="81" t="inlineStr">
        <is>
          <t>Full-Closed</t>
        </is>
      </c>
      <c r="H20" s="81" t="inlineStr">
        <is>
          <t>EtherCAT/Modbus</t>
        </is>
      </c>
      <c r="I20" s="82" t="n"/>
      <c r="J20" s="81" t="n"/>
    </row>
    <row r="21" ht="14" customHeight="1">
      <c r="A21" s="79" t="inlineStr">
        <is>
          <t>MCDLN35BL</t>
        </is>
      </c>
      <c r="B21" s="79" t="inlineStr">
        <is>
          <t>MSMF/MQMF 750W</t>
        </is>
      </c>
      <c r="C21" s="79" t="n">
        <v>750</v>
      </c>
      <c r="D21" s="79" t="inlineStr">
        <is>
          <t>AC3상 200V</t>
        </is>
      </c>
      <c r="E21" s="79" t="n">
        <v>2.4</v>
      </c>
      <c r="F21" s="79" t="n">
        <v>7</v>
      </c>
      <c r="G21" s="79" t="inlineStr">
        <is>
          <t>Full-Closed</t>
        </is>
      </c>
      <c r="H21" s="79" t="inlineStr">
        <is>
          <t>EtherCAT/Modbus</t>
        </is>
      </c>
      <c r="I21" s="80" t="inlineStr">
        <is>
          <t>중형 축용</t>
        </is>
      </c>
      <c r="J21" s="79" t="n"/>
    </row>
    <row r="22" ht="14" customHeight="1">
      <c r="A22" s="81" t="inlineStr">
        <is>
          <t>MCDLN35BE</t>
        </is>
      </c>
      <c r="B22" s="81" t="inlineStr">
        <is>
          <t>MSMF/MQMF 750W</t>
        </is>
      </c>
      <c r="C22" s="81" t="n">
        <v>750</v>
      </c>
      <c r="D22" s="81" t="inlineStr">
        <is>
          <t>AC3상 200V</t>
        </is>
      </c>
      <c r="E22" s="81" t="n">
        <v>2.4</v>
      </c>
      <c r="F22" s="81" t="n">
        <v>7</v>
      </c>
      <c r="G22" s="81" t="inlineStr">
        <is>
          <t>Full-Closed</t>
        </is>
      </c>
      <c r="H22" s="81" t="inlineStr">
        <is>
          <t>EtherCAT/Modbus</t>
        </is>
      </c>
      <c r="I22" s="82" t="inlineStr">
        <is>
          <t>Brake 내장형</t>
        </is>
      </c>
      <c r="J22" s="81" t="n"/>
    </row>
    <row r="23" ht="14" customHeight="1">
      <c r="A23" s="79" t="inlineStr">
        <is>
          <t>MDDLN55BL</t>
        </is>
      </c>
      <c r="B23" s="79" t="inlineStr">
        <is>
          <t>MSMF 1kW</t>
        </is>
      </c>
      <c r="C23" s="79" t="n">
        <v>1000</v>
      </c>
      <c r="D23" s="79" t="inlineStr">
        <is>
          <t>AC3상 200V</t>
        </is>
      </c>
      <c r="E23" s="79" t="n">
        <v>3.4</v>
      </c>
      <c r="F23" s="79" t="n">
        <v>10</v>
      </c>
      <c r="G23" s="79" t="inlineStr">
        <is>
          <t>Full-Closed</t>
        </is>
      </c>
      <c r="H23" s="79" t="inlineStr">
        <is>
          <t>EtherCAT/Modbus</t>
        </is>
      </c>
      <c r="I23" s="80" t="inlineStr">
        <is>
          <t>대형 주축용</t>
        </is>
      </c>
      <c r="J23" s="79" t="n"/>
    </row>
    <row r="24" ht="14" customHeight="1">
      <c r="A24" s="81" t="inlineStr">
        <is>
          <t>MDDLN85BL</t>
        </is>
      </c>
      <c r="B24" s="81" t="inlineStr">
        <is>
          <t>MSMF 1.5kW</t>
        </is>
      </c>
      <c r="C24" s="81" t="n">
        <v>1500</v>
      </c>
      <c r="D24" s="81" t="inlineStr">
        <is>
          <t>AC3상 200V</t>
        </is>
      </c>
      <c r="E24" s="81" t="n">
        <v>5.5</v>
      </c>
      <c r="F24" s="81" t="n">
        <v>15</v>
      </c>
      <c r="G24" s="81" t="inlineStr">
        <is>
          <t>Full-Closed</t>
        </is>
      </c>
      <c r="H24" s="81" t="inlineStr">
        <is>
          <t>EtherCAT/Modbus</t>
        </is>
      </c>
      <c r="I24" s="82" t="n"/>
      <c r="J24" s="81" t="n"/>
    </row>
    <row r="25" ht="14" customHeight="1">
      <c r="A25" s="79" t="inlineStr">
        <is>
          <t>MEDLN15BL</t>
        </is>
      </c>
      <c r="B25" s="79" t="inlineStr">
        <is>
          <t>MSMF 2kW</t>
        </is>
      </c>
      <c r="C25" s="79" t="n">
        <v>2000</v>
      </c>
      <c r="D25" s="79" t="inlineStr">
        <is>
          <t>AC3상 200V</t>
        </is>
      </c>
      <c r="E25" s="79" t="n">
        <v>7.5</v>
      </c>
      <c r="F25" s="79" t="n">
        <v>20</v>
      </c>
      <c r="G25" s="79" t="inlineStr">
        <is>
          <t>Full-Closed</t>
        </is>
      </c>
      <c r="H25" s="79" t="inlineStr">
        <is>
          <t>EtherCAT/Modbus</t>
        </is>
      </c>
      <c r="I25" s="80" t="n"/>
      <c r="J25" s="79" t="n"/>
    </row>
    <row r="26" ht="14" customHeight="1">
      <c r="A26" s="81" t="inlineStr">
        <is>
          <t>MFDLN23BL</t>
        </is>
      </c>
      <c r="B26" s="81" t="inlineStr">
        <is>
          <t>MSMF 3kW</t>
        </is>
      </c>
      <c r="C26" s="81" t="n">
        <v>3000</v>
      </c>
      <c r="D26" s="81" t="inlineStr">
        <is>
          <t>AC3상 200V</t>
        </is>
      </c>
      <c r="E26" s="81" t="n">
        <v>11</v>
      </c>
      <c r="F26" s="81" t="n">
        <v>30</v>
      </c>
      <c r="G26" s="81" t="inlineStr">
        <is>
          <t>Full-Closed</t>
        </is>
      </c>
      <c r="H26" s="81" t="inlineStr">
        <is>
          <t>EtherCAT/Modbus</t>
        </is>
      </c>
      <c r="I26" s="82" t="inlineStr">
        <is>
          <t>고출력</t>
        </is>
      </c>
      <c r="J26" s="81" t="n"/>
    </row>
    <row r="27">
      <c r="A27" s="77" t="inlineStr">
        <is>
          <t>※ 정격입력전류: I = P_출력(VA) ÷ (√3 × V_입력 × PF)  |  안전계수 1.25 적용 후 차단기 선정  |  출처: Panasonic MINAS A6 Catalog</t>
        </is>
      </c>
    </row>
  </sheetData>
  <mergeCells count="4">
    <mergeCell ref="A1:D1"/>
    <mergeCell ref="A15:J15"/>
    <mergeCell ref="A27:J27"/>
    <mergeCell ref="A13:D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30" customWidth="1" min="3" max="3"/>
  </cols>
  <sheetData>
    <row r="1" ht="22" customHeight="1">
      <c r="A1" s="83" t="inlineStr">
        <is>
          <t>파스텍 EZS2/EziServo 정격전류 (VLOOKUP 소스)</t>
        </is>
      </c>
    </row>
    <row r="2" ht="18" customHeight="1">
      <c r="A2" s="21" t="inlineStr">
        <is>
          <t>드라이버 모델</t>
        </is>
      </c>
      <c r="B2" s="21" t="inlineStr">
        <is>
          <t>정격전류 (A)</t>
        </is>
      </c>
      <c r="C2" s="21" t="inlineStr">
        <is>
          <t>비고</t>
        </is>
      </c>
    </row>
    <row r="3" ht="16" customHeight="1">
      <c r="A3" s="11" t="inlineStr">
        <is>
          <t>EZS2-EC-42M</t>
        </is>
      </c>
      <c r="B3" s="11" t="n">
        <v>1.2</v>
      </c>
      <c r="C3" s="40" t="inlineStr">
        <is>
          <t>DC 24V 입력 스텝서보</t>
        </is>
      </c>
    </row>
    <row r="4" ht="16" customHeight="1">
      <c r="A4" s="75" t="inlineStr">
        <is>
          <t>EZS2-EC-42XL</t>
        </is>
      </c>
      <c r="B4" s="75" t="n">
        <v>1.2</v>
      </c>
      <c r="C4" s="76" t="inlineStr">
        <is>
          <t>DC 24V 입력 스텝서보 (XL)</t>
        </is>
      </c>
    </row>
    <row r="5" ht="16" customHeight="1">
      <c r="A5" s="11" t="inlineStr">
        <is>
          <t>Ezi-EC-42M-A</t>
        </is>
      </c>
      <c r="B5" s="11" t="n">
        <v>1.5</v>
      </c>
      <c r="C5" s="40" t="inlineStr">
        <is>
          <t>AC 입력 스텝서보</t>
        </is>
      </c>
    </row>
    <row r="6" ht="16" customHeight="1">
      <c r="A6" s="75" t="inlineStr">
        <is>
          <t>Ezi-EC-42XL-A</t>
        </is>
      </c>
      <c r="B6" s="75" t="n">
        <v>2</v>
      </c>
      <c r="C6" s="76" t="inlineStr">
        <is>
          <t>AC 입력 스텝서보 (XL)</t>
        </is>
      </c>
    </row>
    <row r="7" ht="16" customHeight="1">
      <c r="A7" s="11" t="inlineStr">
        <is>
          <t>EZI-SPEED60H30CR100P</t>
        </is>
      </c>
      <c r="B7" s="11" t="n">
        <v>1</v>
      </c>
      <c r="C7" s="40" t="inlineStr">
        <is>
          <t>DC 24V 입력 스텝모터드라이버</t>
        </is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12" customWidth="1" min="3" max="3"/>
    <col width="20" customWidth="1" min="4" max="4"/>
    <col width="24" customWidth="1" min="5" max="5"/>
  </cols>
  <sheetData>
    <row r="1" ht="22" customHeight="1">
      <c r="A1" s="84" t="inlineStr">
        <is>
          <t>차단기 규격 참조표 (MCCB / MCB 3P, AC 220V)</t>
        </is>
      </c>
    </row>
    <row r="2" ht="5" customHeight="1"/>
    <row r="3" ht="28" customHeight="1">
      <c r="A3" s="21" t="inlineStr">
        <is>
          <t>정격전류 (A)</t>
        </is>
      </c>
      <c r="B3" s="21" t="inlineStr">
        <is>
          <t>적용 부하전류 범위 (A)</t>
        </is>
      </c>
      <c r="C3" s="21" t="inlineStr">
        <is>
          <t>제조사</t>
        </is>
      </c>
      <c r="D3" s="21" t="inlineStr">
        <is>
          <t>모델 (3P)</t>
        </is>
      </c>
      <c r="E3" s="21" t="inlineStr">
        <is>
          <t>비고</t>
        </is>
      </c>
    </row>
    <row r="4" ht="16" customHeight="1">
      <c r="A4" s="85" t="n">
        <v>3</v>
      </c>
      <c r="B4" s="86" t="inlineStr">
        <is>
          <t>~2.4A</t>
        </is>
      </c>
      <c r="C4" s="86" t="inlineStr">
        <is>
          <t>LS/Chint</t>
        </is>
      </c>
      <c r="D4" s="86" t="inlineStr">
        <is>
          <t>ABN3c / NXB-63</t>
        </is>
      </c>
      <c r="E4" s="87" t="inlineStr">
        <is>
          <t>조명, 소형 제어회로</t>
        </is>
      </c>
    </row>
    <row r="5" ht="16" customHeight="1">
      <c r="A5" s="85" t="n">
        <v>5</v>
      </c>
      <c r="B5" s="86" t="inlineStr">
        <is>
          <t>2.4~4A</t>
        </is>
      </c>
      <c r="C5" s="86" t="inlineStr">
        <is>
          <t>LS/Chint</t>
        </is>
      </c>
      <c r="D5" s="86" t="inlineStr">
        <is>
          <t>ABN5c / NXB-63</t>
        </is>
      </c>
      <c r="E5" s="87" t="inlineStr">
        <is>
          <t>소형 I/O, 팬</t>
        </is>
      </c>
    </row>
    <row r="6" ht="16" customHeight="1">
      <c r="A6" s="85" t="n">
        <v>10</v>
      </c>
      <c r="B6" s="86" t="inlineStr">
        <is>
          <t>4~8A</t>
        </is>
      </c>
      <c r="C6" s="86" t="inlineStr">
        <is>
          <t>LS/Chint</t>
        </is>
      </c>
      <c r="D6" s="86" t="inlineStr">
        <is>
          <t>ABN10c / NXB-63</t>
        </is>
      </c>
      <c r="E6" s="87" t="inlineStr">
        <is>
          <t>소형 서보 1~2축</t>
        </is>
      </c>
    </row>
    <row r="7" ht="16" customHeight="1">
      <c r="A7" s="85" t="n">
        <v>15</v>
      </c>
      <c r="B7" s="86" t="inlineStr">
        <is>
          <t>8~12A</t>
        </is>
      </c>
      <c r="C7" s="86" t="inlineStr">
        <is>
          <t>LS/Chint</t>
        </is>
      </c>
      <c r="D7" s="86" t="inlineStr">
        <is>
          <t>ABN15c / NXB-63</t>
        </is>
      </c>
      <c r="E7" s="87" t="inlineStr">
        <is>
          <t>판넬2 권장</t>
        </is>
      </c>
    </row>
    <row r="8" ht="16" customHeight="1">
      <c r="A8" s="85" t="n">
        <v>20</v>
      </c>
      <c r="B8" s="86" t="inlineStr">
        <is>
          <t>12~16A</t>
        </is>
      </c>
      <c r="C8" s="86" t="inlineStr">
        <is>
          <t>LS/Chint</t>
        </is>
      </c>
      <c r="D8" s="86" t="inlineStr">
        <is>
          <t>ABN20c / NXB-63</t>
        </is>
      </c>
      <c r="E8" s="87" t="inlineStr">
        <is>
          <t>판넬1/3/4 권장</t>
        </is>
      </c>
    </row>
    <row r="9" ht="16" customHeight="1">
      <c r="A9" s="85" t="n">
        <v>25</v>
      </c>
      <c r="B9" s="86" t="inlineStr">
        <is>
          <t>16~20A</t>
        </is>
      </c>
      <c r="C9" s="86" t="inlineStr">
        <is>
          <t>LS/Chint</t>
        </is>
      </c>
      <c r="D9" s="86" t="inlineStr">
        <is>
          <t>ABN25c / NXB-63</t>
        </is>
      </c>
      <c r="E9" s="87" t="inlineStr"/>
    </row>
    <row r="10" ht="16" customHeight="1">
      <c r="A10" s="85" t="n">
        <v>30</v>
      </c>
      <c r="B10" s="86" t="inlineStr">
        <is>
          <t>20~24A</t>
        </is>
      </c>
      <c r="C10" s="86" t="inlineStr">
        <is>
          <t>LS/Chint</t>
        </is>
      </c>
      <c r="D10" s="86" t="inlineStr">
        <is>
          <t>ABN30c / NXB-63</t>
        </is>
      </c>
      <c r="E10" s="87" t="inlineStr">
        <is>
          <t>다축 서보 판넬</t>
        </is>
      </c>
    </row>
    <row r="11" ht="16" customHeight="1">
      <c r="A11" s="85" t="n">
        <v>40</v>
      </c>
      <c r="B11" s="86" t="inlineStr">
        <is>
          <t>24~32A</t>
        </is>
      </c>
      <c r="C11" s="86" t="inlineStr">
        <is>
          <t>LS/Chint</t>
        </is>
      </c>
      <c r="D11" s="86" t="inlineStr">
        <is>
          <t>ABN40c</t>
        </is>
      </c>
      <c r="E11" s="87" t="inlineStr"/>
    </row>
    <row r="12" ht="16" customHeight="1">
      <c r="A12" s="85" t="n">
        <v>50</v>
      </c>
      <c r="B12" s="86" t="inlineStr">
        <is>
          <t>32~40A</t>
        </is>
      </c>
      <c r="C12" s="86" t="inlineStr">
        <is>
          <t>LS/Chint</t>
        </is>
      </c>
      <c r="D12" s="86" t="inlineStr">
        <is>
          <t>ABN50c</t>
        </is>
      </c>
      <c r="E12" s="87" t="inlineStr"/>
    </row>
    <row r="13" ht="16" customHeight="1">
      <c r="A13" s="85" t="n">
        <v>63</v>
      </c>
      <c r="B13" s="86" t="inlineStr">
        <is>
          <t>40~50A</t>
        </is>
      </c>
      <c r="C13" s="86" t="inlineStr">
        <is>
          <t>LS/Chint</t>
        </is>
      </c>
      <c r="D13" s="86" t="inlineStr">
        <is>
          <t>ABN63c</t>
        </is>
      </c>
      <c r="E13" s="87" t="inlineStr">
        <is>
          <t>대형 판넬</t>
        </is>
      </c>
    </row>
    <row r="14" ht="16" customHeight="1">
      <c r="A14" s="85" t="n">
        <v>75</v>
      </c>
      <c r="B14" s="86" t="inlineStr">
        <is>
          <t>50~60A</t>
        </is>
      </c>
      <c r="C14" s="86" t="inlineStr">
        <is>
          <t>LS/Chint</t>
        </is>
      </c>
      <c r="D14" s="86" t="inlineStr">
        <is>
          <t>ABN75c</t>
        </is>
      </c>
      <c r="E14" s="87" t="inlineStr">
        <is>
          <t>메인 차단기 (판넬 합산)</t>
        </is>
      </c>
    </row>
    <row r="15" ht="16" customHeight="1">
      <c r="A15" s="85" t="n">
        <v>100</v>
      </c>
      <c r="B15" s="86" t="inlineStr">
        <is>
          <t>60~80A</t>
        </is>
      </c>
      <c r="C15" s="86" t="inlineStr">
        <is>
          <t>LS/Chint</t>
        </is>
      </c>
      <c r="D15" s="86" t="inlineStr">
        <is>
          <t>ABN100c</t>
        </is>
      </c>
      <c r="E15" s="87" t="inlineStr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2026-04-03T08:45:40Z</dcterms:created>
  <dcterms:modified xmlns:dcterms="http://purl.org/dc/terms/" xmlns:xsi="http://www.w3.org/2001/XMLSchema-instance" xsi:type="dcterms:W3CDTF">2026-04-03T08:45:40Z</dcterms:modified>
</cp:coreProperties>
</file>