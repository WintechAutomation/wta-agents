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넬별 차단기 선정" sheetId="1" state="visible" r:id="rId1"/>
    <sheet xmlns:r="http://schemas.openxmlformats.org/officeDocument/2006/relationships" name="파나소닉A6 드라이버 규격" sheetId="2" state="visible" r:id="rId2"/>
    <sheet xmlns:r="http://schemas.openxmlformats.org/officeDocument/2006/relationships" name="파스텍 EziServo 규격" sheetId="3" state="visible" r:id="rId3"/>
    <sheet xmlns:r="http://schemas.openxmlformats.org/officeDocument/2006/relationships" name="차단기 규격 참조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3864"/>
      <sz val="13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b val="1"/>
      <color rgb="001F3864"/>
      <sz val="10"/>
    </font>
    <font>
      <name val="맑은 고딕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2" customWidth="1" min="3" max="3"/>
    <col width="14" customWidth="1" min="4" max="4"/>
    <col width="9" customWidth="1" min="5" max="5"/>
    <col width="9" customWidth="1" min="6" max="6"/>
    <col width="9" customWidth="1" min="7" max="7"/>
    <col width="14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</cols>
  <sheetData>
    <row r="1" ht="28" customHeight="1">
      <c r="A1" s="1" t="inlineStr">
        <is>
          <t>대구텍 검사기 F2 #1 — 판넬별 전류용량 계산 및 차단기 선정표</t>
        </is>
      </c>
    </row>
    <row r="2" ht="16" customHeight="1">
      <c r="A2" s="2" t="inlineStr">
        <is>
          <t>전원:</t>
        </is>
      </c>
      <c r="B2" s="3" t="inlineStr">
        <is>
          <t>AC 단상 200V</t>
        </is>
      </c>
      <c r="C2" s="2" t="inlineStr">
        <is>
          <t>역률(PF):</t>
        </is>
      </c>
      <c r="D2" s="3" t="n">
        <v>0.85</v>
      </c>
      <c r="E2" s="2" t="inlineStr">
        <is>
          <t>안전계수:</t>
        </is>
      </c>
      <c r="F2" s="3" t="n">
        <v>1.25</v>
      </c>
      <c r="G2" s="2" t="inlineStr">
        <is>
          <t>작성일:</t>
        </is>
      </c>
      <c r="H2" s="3" t="inlineStr">
        <is>
          <t>2026-04-03</t>
        </is>
      </c>
    </row>
    <row r="3" ht="5" customHeight="1"/>
    <row r="4" ht="18" customHeight="1">
      <c r="A4" s="4" t="inlineStr">
        <is>
          <t>판넬</t>
        </is>
      </c>
      <c r="B4" s="4" t="inlineStr">
        <is>
          <t>No.</t>
        </is>
      </c>
      <c r="C4" s="4" t="inlineStr">
        <is>
          <t>Axis Name</t>
        </is>
      </c>
      <c r="D4" s="4" t="inlineStr">
        <is>
          <t>드라이버</t>
        </is>
      </c>
      <c r="E4" s="4" t="inlineStr">
        <is>
          <t>정격출력
(W)</t>
        </is>
      </c>
      <c r="F4" s="4" t="inlineStr">
        <is>
          <t>AC전류
(A)</t>
        </is>
      </c>
      <c r="G4" s="4" t="inlineStr">
        <is>
          <t>DC24V전류
(A)</t>
        </is>
      </c>
      <c r="H4" s="4" t="inlineStr">
        <is>
          <t>비고</t>
        </is>
      </c>
      <c r="I4" s="5" t="inlineStr">
        <is>
          <t>판넬 차단기 선정</t>
        </is>
      </c>
    </row>
    <row r="5" ht="35" customHeight="1">
      <c r="I5" s="6" t="inlineStr">
        <is>
          <t>AC 합계
(A)</t>
        </is>
      </c>
      <c r="J5" s="6" t="inlineStr">
        <is>
          <t>AC×1.25
(A)</t>
        </is>
      </c>
      <c r="K5" s="6" t="inlineStr">
        <is>
          <t>AC 권장
차단기(A)</t>
        </is>
      </c>
      <c r="L5" s="6" t="inlineStr">
        <is>
          <t>AC 선정
차단기(A)</t>
        </is>
      </c>
      <c r="M5" s="6" t="inlineStr">
        <is>
          <t>DC24V합계
(A)</t>
        </is>
      </c>
      <c r="N5" s="6" t="inlineStr">
        <is>
          <t>DC24V×1.25</t>
        </is>
      </c>
      <c r="O5" s="6" t="inlineStr">
        <is>
          <t>DC24V
권장(A)</t>
        </is>
      </c>
      <c r="P5" s="6" t="inlineStr">
        <is>
          <t>비고</t>
        </is>
      </c>
    </row>
    <row r="6" ht="17" customHeight="1">
      <c r="A6" s="7" t="inlineStr">
        <is>
          <t>판넬1</t>
        </is>
      </c>
      <c r="B6" s="8" t="n">
        <v>0</v>
      </c>
      <c r="C6" s="9" t="inlineStr">
        <is>
          <t>LO_Y1</t>
        </is>
      </c>
      <c r="D6" s="9" t="inlineStr">
        <is>
          <t>MDDLN55BL</t>
        </is>
      </c>
      <c r="E6" s="8" t="inlineStr"/>
      <c r="F6" s="10" t="n">
        <v>8.5</v>
      </c>
      <c r="G6" s="8" t="inlineStr"/>
      <c r="H6" s="9" t="inlineStr">
        <is>
          <t>AC200V Linear</t>
        </is>
      </c>
    </row>
    <row r="7" ht="17" customHeight="1">
      <c r="A7" s="7" t="inlineStr"/>
      <c r="B7" s="8" t="n">
        <v>1</v>
      </c>
      <c r="C7" s="9" t="inlineStr">
        <is>
          <t>LO_X1</t>
        </is>
      </c>
      <c r="D7" s="9" t="inlineStr">
        <is>
          <t>MCDLN35BL</t>
        </is>
      </c>
      <c r="E7" s="8" t="inlineStr"/>
      <c r="F7" s="10" t="n">
        <v>5</v>
      </c>
      <c r="G7" s="8" t="inlineStr"/>
      <c r="H7" s="9" t="inlineStr">
        <is>
          <t>AC200V Linear</t>
        </is>
      </c>
    </row>
    <row r="8" ht="17" customHeight="1">
      <c r="A8" s="7" t="inlineStr"/>
      <c r="B8" s="8" t="n">
        <v>2</v>
      </c>
      <c r="C8" s="9" t="inlineStr">
        <is>
          <t>LO_Z1</t>
        </is>
      </c>
      <c r="D8" s="9" t="inlineStr">
        <is>
          <t>MADLN05BE</t>
        </is>
      </c>
      <c r="E8" s="8" t="n">
        <v>100</v>
      </c>
      <c r="F8" s="10" t="n">
        <v>0.9</v>
      </c>
      <c r="G8" s="8" t="inlineStr"/>
      <c r="H8" s="9" t="inlineStr">
        <is>
          <t>AC200V 100W</t>
        </is>
      </c>
    </row>
    <row r="9" ht="17" customHeight="1">
      <c r="A9" s="7" t="inlineStr"/>
      <c r="B9" s="8" t="n">
        <v>3</v>
      </c>
      <c r="C9" s="9" t="inlineStr">
        <is>
          <t>ULO_Y1</t>
        </is>
      </c>
      <c r="D9" s="9" t="inlineStr">
        <is>
          <t>MCDLN35BL</t>
        </is>
      </c>
      <c r="E9" s="8" t="inlineStr"/>
      <c r="F9" s="10" t="n">
        <v>5</v>
      </c>
      <c r="G9" s="8" t="inlineStr"/>
      <c r="H9" s="9" t="inlineStr">
        <is>
          <t>AC200V Linear</t>
        </is>
      </c>
    </row>
    <row r="10" ht="17" customHeight="1">
      <c r="A10" s="7" t="inlineStr"/>
      <c r="B10" s="8" t="n">
        <v>4</v>
      </c>
      <c r="C10" s="9" t="inlineStr">
        <is>
          <t>ULO_X1</t>
        </is>
      </c>
      <c r="D10" s="9" t="inlineStr">
        <is>
          <t>MCDLN35BL</t>
        </is>
      </c>
      <c r="E10" s="8" t="inlineStr"/>
      <c r="F10" s="10" t="n">
        <v>5</v>
      </c>
      <c r="G10" s="8" t="inlineStr"/>
      <c r="H10" s="9" t="inlineStr">
        <is>
          <t>AC200V Linear</t>
        </is>
      </c>
    </row>
    <row r="11" ht="17" customHeight="1">
      <c r="A11" s="7" t="inlineStr"/>
      <c r="B11" s="8" t="n">
        <v>5</v>
      </c>
      <c r="C11" s="9" t="inlineStr">
        <is>
          <t>ULO_Z1</t>
        </is>
      </c>
      <c r="D11" s="9" t="inlineStr">
        <is>
          <t>MADLN05BE</t>
        </is>
      </c>
      <c r="E11" s="8" t="n">
        <v>100</v>
      </c>
      <c r="F11" s="10" t="n">
        <v>0.9</v>
      </c>
      <c r="G11" s="8" t="inlineStr"/>
      <c r="H11" s="9" t="inlineStr">
        <is>
          <t>AC200V 100W</t>
        </is>
      </c>
    </row>
    <row r="12" ht="17" customHeight="1">
      <c r="A12" s="7" t="inlineStr"/>
      <c r="B12" s="8" t="n">
        <v>6</v>
      </c>
      <c r="C12" s="9" t="inlineStr">
        <is>
          <t>NG_EV</t>
        </is>
      </c>
      <c r="D12" s="9" t="inlineStr">
        <is>
          <t>MCDLN35BE</t>
        </is>
      </c>
      <c r="E12" s="8" t="n">
        <v>800</v>
      </c>
      <c r="F12" s="10" t="n">
        <v>5</v>
      </c>
      <c r="G12" s="8" t="inlineStr"/>
      <c r="H12" s="9" t="inlineStr">
        <is>
          <t>AC200V 750/800W</t>
        </is>
      </c>
    </row>
    <row r="13" ht="17" customHeight="1">
      <c r="A13" s="7" t="inlineStr"/>
      <c r="B13" s="8" t="n">
        <v>7</v>
      </c>
      <c r="C13" s="9" t="inlineStr">
        <is>
          <t>NG_FD</t>
        </is>
      </c>
      <c r="D13" s="9" t="inlineStr">
        <is>
          <t>MADLN05BE</t>
        </is>
      </c>
      <c r="E13" s="8" t="n">
        <v>100</v>
      </c>
      <c r="F13" s="10" t="n">
        <v>0.9</v>
      </c>
      <c r="G13" s="8" t="inlineStr"/>
      <c r="H13" s="9" t="inlineStr">
        <is>
          <t>AC200V 100W</t>
        </is>
      </c>
    </row>
    <row r="14" ht="17" customHeight="1">
      <c r="A14" s="7" t="inlineStr"/>
      <c r="B14" s="8" t="n">
        <v>8</v>
      </c>
      <c r="C14" s="9" t="inlineStr">
        <is>
          <t>NG_FD_Z</t>
        </is>
      </c>
      <c r="D14" s="9" t="inlineStr">
        <is>
          <t>MBDLN25BE</t>
        </is>
      </c>
      <c r="E14" s="8" t="n">
        <v>400</v>
      </c>
      <c r="F14" s="10" t="n">
        <v>2.5</v>
      </c>
      <c r="G14" s="8" t="inlineStr"/>
      <c r="H14" s="9" t="inlineStr">
        <is>
          <t>AC200V 400W</t>
        </is>
      </c>
    </row>
    <row r="15" ht="17" customHeight="1">
      <c r="A15" s="7" t="inlineStr"/>
      <c r="B15" s="8" t="n">
        <v>9</v>
      </c>
      <c r="C15" s="9" t="inlineStr">
        <is>
          <t>NG_FD_ALIGN</t>
        </is>
      </c>
      <c r="D15" s="9" t="inlineStr">
        <is>
          <t>MADLN05BE</t>
        </is>
      </c>
      <c r="E15" s="8" t="n">
        <v>100</v>
      </c>
      <c r="F15" s="10" t="n">
        <v>0.9</v>
      </c>
      <c r="G15" s="8" t="inlineStr"/>
      <c r="H15" s="9" t="inlineStr">
        <is>
          <t>AC200V 100W</t>
        </is>
      </c>
    </row>
    <row r="16" ht="17" customHeight="1">
      <c r="A16" s="7" t="inlineStr"/>
      <c r="B16" s="8" t="n">
        <v>10</v>
      </c>
      <c r="C16" s="9" t="inlineStr">
        <is>
          <t>NG_FD_INDEX</t>
        </is>
      </c>
      <c r="D16" s="9" t="inlineStr">
        <is>
          <t>MBDLN25BE</t>
        </is>
      </c>
      <c r="E16" s="8" t="n">
        <v>400</v>
      </c>
      <c r="F16" s="10" t="n">
        <v>2.5</v>
      </c>
      <c r="G16" s="8" t="inlineStr"/>
      <c r="H16" s="9" t="inlineStr">
        <is>
          <t>AC200V 400W</t>
        </is>
      </c>
    </row>
    <row r="17" ht="17" customHeight="1">
      <c r="A17" s="7" t="inlineStr"/>
      <c r="B17" s="8" t="n">
        <v>11</v>
      </c>
      <c r="C17" s="9" t="inlineStr">
        <is>
          <t>JIG_ULO_Y</t>
        </is>
      </c>
      <c r="D17" s="9" t="inlineStr">
        <is>
          <t>MADLN05BE</t>
        </is>
      </c>
      <c r="E17" s="8" t="n">
        <v>100</v>
      </c>
      <c r="F17" s="10" t="n">
        <v>0.9</v>
      </c>
      <c r="G17" s="8" t="inlineStr"/>
      <c r="H17" s="9" t="inlineStr">
        <is>
          <t>AC200V 100W</t>
        </is>
      </c>
    </row>
    <row r="18" ht="17" customHeight="1">
      <c r="A18" s="7" t="inlineStr"/>
      <c r="B18" s="8" t="n">
        <v>12</v>
      </c>
      <c r="C18" s="9" t="inlineStr">
        <is>
          <t>JIG_ULO_Z</t>
        </is>
      </c>
      <c r="D18" s="9" t="inlineStr">
        <is>
          <t>MADLN05BE</t>
        </is>
      </c>
      <c r="E18" s="8" t="n">
        <v>100</v>
      </c>
      <c r="F18" s="10" t="n">
        <v>0.9</v>
      </c>
      <c r="G18" s="8" t="inlineStr"/>
      <c r="H18" s="9" t="inlineStr">
        <is>
          <t>AC200V 100W</t>
        </is>
      </c>
    </row>
    <row r="19" ht="17" customHeight="1">
      <c r="A19" s="7" t="inlineStr"/>
      <c r="B19" s="8" t="n">
        <v>13</v>
      </c>
      <c r="C19" s="9" t="inlineStr">
        <is>
          <t>LO_R1</t>
        </is>
      </c>
      <c r="D19" s="9" t="inlineStr">
        <is>
          <t>Ezi-EC-42XL-A</t>
        </is>
      </c>
      <c r="E19" s="8" t="inlineStr"/>
      <c r="F19" s="8" t="inlineStr"/>
      <c r="G19" s="10" t="n">
        <v>2</v>
      </c>
      <c r="H19" s="9" t="inlineStr">
        <is>
          <t>DC24V StepServo</t>
        </is>
      </c>
    </row>
    <row r="20" ht="17" customHeight="1">
      <c r="A20" s="7" t="inlineStr"/>
      <c r="B20" s="8" t="n">
        <v>14</v>
      </c>
      <c r="C20" s="9" t="inlineStr">
        <is>
          <t>LO_R1</t>
        </is>
      </c>
      <c r="D20" s="9" t="inlineStr">
        <is>
          <t>Ezi-EC-42XL-A</t>
        </is>
      </c>
      <c r="E20" s="8" t="inlineStr"/>
      <c r="F20" s="8" t="inlineStr"/>
      <c r="G20" s="10" t="n">
        <v>2</v>
      </c>
      <c r="H20" s="9" t="inlineStr">
        <is>
          <t>DC24V StepServo</t>
        </is>
      </c>
    </row>
    <row r="21" ht="18" customHeight="1">
      <c r="A21" s="11" t="inlineStr">
        <is>
          <t>▶ 판넬1 합계</t>
        </is>
      </c>
      <c r="I21" s="11">
        <f>SUM(F6:F20)</f>
        <v/>
      </c>
      <c r="J21" s="11">
        <f>I21*1.25</f>
        <v/>
      </c>
      <c r="K21" s="11" t="inlineStr">
        <is>
          <t>(자동계산)</t>
        </is>
      </c>
      <c r="L21" s="11" t="inlineStr"/>
      <c r="M21" s="11">
        <f>SUM(G6:G20)</f>
        <v/>
      </c>
      <c r="N21" s="11">
        <f>M21*1.25</f>
        <v/>
      </c>
      <c r="O21" s="11" t="inlineStr">
        <is>
          <t>(자동계산)</t>
        </is>
      </c>
      <c r="P21" s="11" t="inlineStr"/>
    </row>
    <row r="22" ht="5" customHeight="1"/>
    <row r="23" ht="17" customHeight="1">
      <c r="A23" s="7" t="inlineStr">
        <is>
          <t>판넬2</t>
        </is>
      </c>
      <c r="B23" s="8" t="n">
        <v>15</v>
      </c>
      <c r="C23" s="9" t="inlineStr">
        <is>
          <t>GOOD_EV</t>
        </is>
      </c>
      <c r="D23" s="9" t="inlineStr">
        <is>
          <t>MCDLN35BE</t>
        </is>
      </c>
      <c r="E23" s="8" t="n">
        <v>800</v>
      </c>
      <c r="F23" s="10" t="n">
        <v>5</v>
      </c>
      <c r="G23" s="8" t="inlineStr"/>
      <c r="H23" s="9" t="inlineStr">
        <is>
          <t>AC200V 750/800W</t>
        </is>
      </c>
    </row>
    <row r="24" ht="17" customHeight="1">
      <c r="A24" s="7" t="inlineStr"/>
      <c r="B24" s="8" t="n">
        <v>16</v>
      </c>
      <c r="C24" s="9" t="inlineStr">
        <is>
          <t>GOOD_FD</t>
        </is>
      </c>
      <c r="D24" s="9" t="inlineStr">
        <is>
          <t>MADLN05BE</t>
        </is>
      </c>
      <c r="E24" s="8" t="n">
        <v>100</v>
      </c>
      <c r="F24" s="10" t="n">
        <v>0.9</v>
      </c>
      <c r="G24" s="8" t="inlineStr"/>
      <c r="H24" s="9" t="inlineStr">
        <is>
          <t>AC200V 100W</t>
        </is>
      </c>
    </row>
    <row r="25" ht="17" customHeight="1">
      <c r="A25" s="7" t="inlineStr"/>
      <c r="B25" s="8" t="n">
        <v>17</v>
      </c>
      <c r="C25" s="9" t="inlineStr">
        <is>
          <t>GOOD_FD_Z</t>
        </is>
      </c>
      <c r="D25" s="9" t="inlineStr">
        <is>
          <t>MBDLN25BE</t>
        </is>
      </c>
      <c r="E25" s="8" t="n">
        <v>400</v>
      </c>
      <c r="F25" s="10" t="n">
        <v>2.5</v>
      </c>
      <c r="G25" s="8" t="inlineStr"/>
      <c r="H25" s="9" t="inlineStr">
        <is>
          <t>AC200V 400W</t>
        </is>
      </c>
    </row>
    <row r="26" ht="17" customHeight="1">
      <c r="A26" s="7" t="inlineStr"/>
      <c r="B26" s="8" t="n">
        <v>18</v>
      </c>
      <c r="C26" s="9" t="inlineStr">
        <is>
          <t>GOOD_FD_ALIGN</t>
        </is>
      </c>
      <c r="D26" s="9" t="inlineStr">
        <is>
          <t>MADLN05BE</t>
        </is>
      </c>
      <c r="E26" s="8" t="n">
        <v>100</v>
      </c>
      <c r="F26" s="10" t="n">
        <v>0.9</v>
      </c>
      <c r="G26" s="8" t="inlineStr"/>
      <c r="H26" s="9" t="inlineStr">
        <is>
          <t>AC200V 100W</t>
        </is>
      </c>
    </row>
    <row r="27" ht="17" customHeight="1">
      <c r="A27" s="7" t="inlineStr"/>
      <c r="B27" s="8" t="n">
        <v>19</v>
      </c>
      <c r="C27" s="9" t="inlineStr">
        <is>
          <t>GOOD_FD_INDEX</t>
        </is>
      </c>
      <c r="D27" s="9" t="inlineStr">
        <is>
          <t>MBDLN25BE</t>
        </is>
      </c>
      <c r="E27" s="8" t="n">
        <v>400</v>
      </c>
      <c r="F27" s="10" t="n">
        <v>2.5</v>
      </c>
      <c r="G27" s="8" t="inlineStr"/>
      <c r="H27" s="9" t="inlineStr">
        <is>
          <t>AC200V 400W</t>
        </is>
      </c>
    </row>
    <row r="28" ht="17" customHeight="1">
      <c r="A28" s="7" t="inlineStr"/>
      <c r="B28" s="8" t="n">
        <v>20</v>
      </c>
      <c r="C28" s="9" t="inlineStr">
        <is>
          <t>TURN_Y</t>
        </is>
      </c>
      <c r="D28" s="9" t="inlineStr">
        <is>
          <t>MBDLN25BE</t>
        </is>
      </c>
      <c r="E28" s="8" t="n">
        <v>400</v>
      </c>
      <c r="F28" s="10" t="n">
        <v>2.5</v>
      </c>
      <c r="G28" s="8" t="inlineStr"/>
      <c r="H28" s="9" t="inlineStr">
        <is>
          <t>AC200V 400W</t>
        </is>
      </c>
    </row>
    <row r="29" ht="17" customHeight="1">
      <c r="A29" s="7" t="inlineStr"/>
      <c r="B29" s="8" t="n">
        <v>21</v>
      </c>
      <c r="C29" s="9" t="inlineStr">
        <is>
          <t>TURN_GRIPPER_Y1</t>
        </is>
      </c>
      <c r="D29" s="9" t="inlineStr">
        <is>
          <t>MADLN15BE</t>
        </is>
      </c>
      <c r="E29" s="8" t="n">
        <v>200</v>
      </c>
      <c r="F29" s="10" t="n">
        <v>1.5</v>
      </c>
      <c r="G29" s="8" t="inlineStr"/>
      <c r="H29" s="9" t="inlineStr">
        <is>
          <t>AC200V 200W</t>
        </is>
      </c>
    </row>
    <row r="30" ht="17" customHeight="1">
      <c r="A30" s="7" t="inlineStr"/>
      <c r="B30" s="8" t="n">
        <v>22</v>
      </c>
      <c r="C30" s="9" t="inlineStr">
        <is>
          <t>TURN_GRIPPER_X1</t>
        </is>
      </c>
      <c r="D30" s="9" t="inlineStr">
        <is>
          <t>MADLN15BE</t>
        </is>
      </c>
      <c r="E30" s="8" t="n">
        <v>200</v>
      </c>
      <c r="F30" s="10" t="n">
        <v>1.5</v>
      </c>
      <c r="G30" s="8" t="inlineStr"/>
      <c r="H30" s="9" t="inlineStr">
        <is>
          <t>AC200V 200W</t>
        </is>
      </c>
    </row>
    <row r="31" ht="17" customHeight="1">
      <c r="A31" s="7" t="inlineStr"/>
      <c r="B31" s="8" t="n">
        <v>23</v>
      </c>
      <c r="C31" s="9" t="inlineStr">
        <is>
          <t>TURN_GRIPPER_Z1</t>
        </is>
      </c>
      <c r="D31" s="9" t="inlineStr">
        <is>
          <t>MADLN05BE</t>
        </is>
      </c>
      <c r="E31" s="8" t="n">
        <v>50</v>
      </c>
      <c r="F31" s="10" t="n">
        <v>0.9</v>
      </c>
      <c r="G31" s="8" t="inlineStr"/>
      <c r="H31" s="9" t="inlineStr">
        <is>
          <t>AC200V 100W</t>
        </is>
      </c>
    </row>
    <row r="32" ht="17" customHeight="1">
      <c r="A32" s="7" t="inlineStr"/>
      <c r="B32" s="8" t="n">
        <v>24</v>
      </c>
      <c r="C32" s="9" t="inlineStr">
        <is>
          <t>TURN_GRIPPER_Y2</t>
        </is>
      </c>
      <c r="D32" s="9" t="inlineStr">
        <is>
          <t>MADLN15BE</t>
        </is>
      </c>
      <c r="E32" s="8" t="n">
        <v>200</v>
      </c>
      <c r="F32" s="10" t="n">
        <v>1.5</v>
      </c>
      <c r="G32" s="8" t="inlineStr"/>
      <c r="H32" s="9" t="inlineStr">
        <is>
          <t>AC200V 200W</t>
        </is>
      </c>
    </row>
    <row r="33" ht="17" customHeight="1">
      <c r="A33" s="7" t="inlineStr"/>
      <c r="B33" s="8" t="n">
        <v>25</v>
      </c>
      <c r="C33" s="9" t="inlineStr">
        <is>
          <t>TURN_GRIPPER_X1</t>
        </is>
      </c>
      <c r="D33" s="9" t="inlineStr">
        <is>
          <t>MADLN15BE</t>
        </is>
      </c>
      <c r="E33" s="8" t="n">
        <v>200</v>
      </c>
      <c r="F33" s="10" t="n">
        <v>1.5</v>
      </c>
      <c r="G33" s="8" t="inlineStr"/>
      <c r="H33" s="9" t="inlineStr">
        <is>
          <t>AC200V 200W</t>
        </is>
      </c>
    </row>
    <row r="34" ht="17" customHeight="1">
      <c r="A34" s="7" t="inlineStr"/>
      <c r="B34" s="8" t="n">
        <v>26</v>
      </c>
      <c r="C34" s="9" t="inlineStr">
        <is>
          <t>TURN_GRIPPER_Z1</t>
        </is>
      </c>
      <c r="D34" s="9" t="inlineStr">
        <is>
          <t>MADLN05BE</t>
        </is>
      </c>
      <c r="E34" s="8" t="n">
        <v>50</v>
      </c>
      <c r="F34" s="10" t="n">
        <v>0.9</v>
      </c>
      <c r="G34" s="8" t="inlineStr"/>
      <c r="H34" s="9" t="inlineStr">
        <is>
          <t>AC200V 100W</t>
        </is>
      </c>
    </row>
    <row r="35" ht="17" customHeight="1">
      <c r="A35" s="7" t="inlineStr"/>
      <c r="B35" s="8" t="n">
        <v>27</v>
      </c>
      <c r="C35" s="9" t="inlineStr">
        <is>
          <t>BOT_MAC_Y</t>
        </is>
      </c>
      <c r="D35" s="9" t="inlineStr">
        <is>
          <t>MADLN15BE</t>
        </is>
      </c>
      <c r="E35" s="8" t="n">
        <v>200</v>
      </c>
      <c r="F35" s="10" t="n">
        <v>1.5</v>
      </c>
      <c r="G35" s="8" t="inlineStr"/>
      <c r="H35" s="9" t="inlineStr">
        <is>
          <t>AC200V 200W</t>
        </is>
      </c>
    </row>
    <row r="36" ht="17" customHeight="1">
      <c r="A36" s="7" t="inlineStr"/>
      <c r="B36" s="8" t="n">
        <v>28</v>
      </c>
      <c r="C36" s="9" t="inlineStr">
        <is>
          <t>BOT_MAC_X</t>
        </is>
      </c>
      <c r="D36" s="9" t="inlineStr">
        <is>
          <t>MADLN15BE</t>
        </is>
      </c>
      <c r="E36" s="8" t="n">
        <v>200</v>
      </c>
      <c r="F36" s="10" t="n">
        <v>1.5</v>
      </c>
      <c r="G36" s="8" t="inlineStr"/>
      <c r="H36" s="9" t="inlineStr">
        <is>
          <t>AC200V 200W</t>
        </is>
      </c>
    </row>
    <row r="37" ht="17" customHeight="1">
      <c r="A37" s="7" t="inlineStr"/>
      <c r="B37" s="8" t="n">
        <v>29</v>
      </c>
      <c r="C37" s="9" t="inlineStr">
        <is>
          <t>BOT_MAC_Z</t>
        </is>
      </c>
      <c r="D37" s="9" t="inlineStr">
        <is>
          <t>MADLN05BE</t>
        </is>
      </c>
      <c r="E37" s="8" t="n">
        <v>100</v>
      </c>
      <c r="F37" s="10" t="n">
        <v>0.9</v>
      </c>
      <c r="G37" s="8" t="inlineStr"/>
      <c r="H37" s="9" t="inlineStr">
        <is>
          <t>AC200V 100W</t>
        </is>
      </c>
    </row>
    <row r="38" ht="17" customHeight="1">
      <c r="A38" s="7" t="inlineStr"/>
      <c r="B38" s="8" t="n">
        <v>30</v>
      </c>
      <c r="C38" s="9" t="inlineStr">
        <is>
          <t>BOT_MIC_Y</t>
        </is>
      </c>
      <c r="D38" s="9" t="inlineStr">
        <is>
          <t>MADLN15BE</t>
        </is>
      </c>
      <c r="E38" s="8" t="n">
        <v>200</v>
      </c>
      <c r="F38" s="10" t="n">
        <v>1.5</v>
      </c>
      <c r="G38" s="8" t="inlineStr"/>
      <c r="H38" s="9" t="inlineStr">
        <is>
          <t>AC200V 200W</t>
        </is>
      </c>
    </row>
    <row r="39" ht="17" customHeight="1">
      <c r="A39" s="7" t="inlineStr"/>
      <c r="B39" s="8" t="n">
        <v>31</v>
      </c>
      <c r="C39" s="9" t="inlineStr">
        <is>
          <t>BOT_MIC_X</t>
        </is>
      </c>
      <c r="D39" s="9" t="inlineStr">
        <is>
          <t>MADLN15BE</t>
        </is>
      </c>
      <c r="E39" s="8" t="n">
        <v>200</v>
      </c>
      <c r="F39" s="10" t="n">
        <v>1.5</v>
      </c>
      <c r="G39" s="8" t="inlineStr"/>
      <c r="H39" s="9" t="inlineStr">
        <is>
          <t>AC200V 200W</t>
        </is>
      </c>
    </row>
    <row r="40" ht="17" customHeight="1">
      <c r="A40" s="7" t="inlineStr"/>
      <c r="B40" s="8" t="n">
        <v>32</v>
      </c>
      <c r="C40" s="9" t="inlineStr">
        <is>
          <t>BOT_MIC_Z</t>
        </is>
      </c>
      <c r="D40" s="9" t="inlineStr">
        <is>
          <t>MADLN05BE</t>
        </is>
      </c>
      <c r="E40" s="8" t="n">
        <v>100</v>
      </c>
      <c r="F40" s="10" t="n">
        <v>0.9</v>
      </c>
      <c r="G40" s="8" t="inlineStr"/>
      <c r="H40" s="9" t="inlineStr">
        <is>
          <t>AC200V 100W</t>
        </is>
      </c>
    </row>
    <row r="41" ht="18" customHeight="1">
      <c r="A41" s="11" t="inlineStr">
        <is>
          <t>▶ 판넬2 합계</t>
        </is>
      </c>
      <c r="I41" s="11">
        <f>SUM(F23:F40)</f>
        <v/>
      </c>
      <c r="J41" s="11">
        <f>I41*1.25</f>
        <v/>
      </c>
      <c r="K41" s="11" t="inlineStr">
        <is>
          <t>(자동계산)</t>
        </is>
      </c>
      <c r="L41" s="11" t="inlineStr"/>
      <c r="M41" s="11">
        <f>SUM(G23:G40)</f>
        <v/>
      </c>
      <c r="N41" s="11">
        <f>M41*1.25</f>
        <v/>
      </c>
      <c r="O41" s="11" t="inlineStr">
        <is>
          <t>(자동계산)</t>
        </is>
      </c>
      <c r="P41" s="11" t="inlineStr"/>
    </row>
    <row r="42" ht="5" customHeight="1"/>
    <row r="43" ht="17" customHeight="1">
      <c r="A43" s="7" t="inlineStr">
        <is>
          <t>판넬3</t>
        </is>
      </c>
      <c r="B43" s="8" t="n">
        <v>33</v>
      </c>
      <c r="C43" s="9" t="inlineStr">
        <is>
          <t>LO_ATC_X</t>
        </is>
      </c>
      <c r="D43" s="9" t="inlineStr">
        <is>
          <t>MADLN15BE</t>
        </is>
      </c>
      <c r="E43" s="8" t="n">
        <v>200</v>
      </c>
      <c r="F43" s="10" t="n">
        <v>1.5</v>
      </c>
      <c r="G43" s="8" t="inlineStr"/>
      <c r="H43" s="9" t="inlineStr">
        <is>
          <t>AC200V 200W</t>
        </is>
      </c>
    </row>
    <row r="44" ht="17" customHeight="1">
      <c r="A44" s="7" t="inlineStr"/>
      <c r="B44" s="8" t="n">
        <v>34</v>
      </c>
      <c r="C44" s="9" t="inlineStr">
        <is>
          <t>LO_ATC_Z</t>
        </is>
      </c>
      <c r="D44" s="9" t="inlineStr">
        <is>
          <t>MADLN15BE</t>
        </is>
      </c>
      <c r="E44" s="8" t="n">
        <v>200</v>
      </c>
      <c r="F44" s="10" t="n">
        <v>1.5</v>
      </c>
      <c r="G44" s="8" t="inlineStr"/>
      <c r="H44" s="9" t="inlineStr">
        <is>
          <t>AC200V 200W</t>
        </is>
      </c>
    </row>
    <row r="45" ht="17" customHeight="1">
      <c r="A45" s="7" t="inlineStr"/>
      <c r="B45" s="8" t="n">
        <v>35</v>
      </c>
      <c r="C45" s="9" t="inlineStr">
        <is>
          <t>SIDE_X1</t>
        </is>
      </c>
      <c r="D45" s="9" t="inlineStr">
        <is>
          <t>MADLN05BE</t>
        </is>
      </c>
      <c r="E45" s="8" t="n">
        <v>100</v>
      </c>
      <c r="F45" s="10" t="n">
        <v>0.9</v>
      </c>
      <c r="G45" s="8" t="inlineStr"/>
      <c r="H45" s="9" t="inlineStr">
        <is>
          <t>AC200V 100W</t>
        </is>
      </c>
    </row>
    <row r="46" ht="17" customHeight="1">
      <c r="A46" s="7" t="inlineStr"/>
      <c r="B46" s="8" t="n">
        <v>36</v>
      </c>
      <c r="C46" s="9" t="inlineStr">
        <is>
          <t>SIDE_Y1</t>
        </is>
      </c>
      <c r="D46" s="9" t="inlineStr">
        <is>
          <t>MADLN15BE</t>
        </is>
      </c>
      <c r="E46" s="8" t="n">
        <v>100</v>
      </c>
      <c r="F46" s="10" t="n">
        <v>1.5</v>
      </c>
      <c r="G46" s="8" t="inlineStr"/>
      <c r="H46" s="9" t="inlineStr">
        <is>
          <t>AC200V 200W</t>
        </is>
      </c>
    </row>
    <row r="47" ht="17" customHeight="1">
      <c r="A47" s="7" t="inlineStr"/>
      <c r="B47" s="8" t="n">
        <v>37</v>
      </c>
      <c r="C47" s="9" t="inlineStr">
        <is>
          <t>SIDE_T1</t>
        </is>
      </c>
      <c r="D47" s="9" t="inlineStr">
        <is>
          <t>MADLN05BE</t>
        </is>
      </c>
      <c r="E47" s="8" t="n">
        <v>200</v>
      </c>
      <c r="F47" s="10" t="n">
        <v>0.9</v>
      </c>
      <c r="G47" s="8" t="inlineStr"/>
      <c r="H47" s="9" t="inlineStr">
        <is>
          <t>AC200V 100W</t>
        </is>
      </c>
    </row>
    <row r="48" ht="17" customHeight="1">
      <c r="A48" s="7" t="inlineStr"/>
      <c r="B48" s="8" t="n">
        <v>38</v>
      </c>
      <c r="C48" s="9" t="inlineStr">
        <is>
          <t>SIDE_X2</t>
        </is>
      </c>
      <c r="D48" s="9" t="inlineStr">
        <is>
          <t>MADLN05BE</t>
        </is>
      </c>
      <c r="E48" s="8" t="n">
        <v>100</v>
      </c>
      <c r="F48" s="10" t="n">
        <v>0.9</v>
      </c>
      <c r="G48" s="8" t="inlineStr"/>
      <c r="H48" s="9" t="inlineStr">
        <is>
          <t>AC200V 100W</t>
        </is>
      </c>
    </row>
    <row r="49" ht="17" customHeight="1">
      <c r="A49" s="7" t="inlineStr"/>
      <c r="B49" s="8" t="n">
        <v>39</v>
      </c>
      <c r="C49" s="9" t="inlineStr">
        <is>
          <t>SIDE_Y2</t>
        </is>
      </c>
      <c r="D49" s="9" t="inlineStr">
        <is>
          <t>MADLN15BE</t>
        </is>
      </c>
      <c r="E49" s="8" t="n">
        <v>100</v>
      </c>
      <c r="F49" s="10" t="n">
        <v>1.5</v>
      </c>
      <c r="G49" s="8" t="inlineStr"/>
      <c r="H49" s="9" t="inlineStr">
        <is>
          <t>AC200V 200W</t>
        </is>
      </c>
    </row>
    <row r="50" ht="17" customHeight="1">
      <c r="A50" s="7" t="inlineStr"/>
      <c r="B50" s="8" t="n">
        <v>40</v>
      </c>
      <c r="C50" s="9" t="inlineStr">
        <is>
          <t>SIDE_T2</t>
        </is>
      </c>
      <c r="D50" s="9" t="inlineStr">
        <is>
          <t>MADLN05BE</t>
        </is>
      </c>
      <c r="E50" s="8" t="n">
        <v>200</v>
      </c>
      <c r="F50" s="10" t="n">
        <v>0.9</v>
      </c>
      <c r="G50" s="8" t="inlineStr"/>
      <c r="H50" s="9" t="inlineStr">
        <is>
          <t>AC200V 100W</t>
        </is>
      </c>
    </row>
    <row r="51" ht="17" customHeight="1">
      <c r="A51" s="7" t="inlineStr"/>
      <c r="B51" s="8" t="n">
        <v>41</v>
      </c>
      <c r="C51" s="9" t="inlineStr">
        <is>
          <t>SIDE_X3</t>
        </is>
      </c>
      <c r="D51" s="9" t="inlineStr">
        <is>
          <t>MADLN05BE</t>
        </is>
      </c>
      <c r="E51" s="8" t="n">
        <v>100</v>
      </c>
      <c r="F51" s="10" t="n">
        <v>0.9</v>
      </c>
      <c r="G51" s="8" t="inlineStr"/>
      <c r="H51" s="9" t="inlineStr">
        <is>
          <t>AC200V 100W</t>
        </is>
      </c>
    </row>
    <row r="52" ht="17" customHeight="1">
      <c r="A52" s="7" t="inlineStr"/>
      <c r="B52" s="8" t="n">
        <v>42</v>
      </c>
      <c r="C52" s="9" t="inlineStr">
        <is>
          <t>SIDE_Y3</t>
        </is>
      </c>
      <c r="D52" s="9" t="inlineStr">
        <is>
          <t>MADLN15BE</t>
        </is>
      </c>
      <c r="E52" s="8" t="n">
        <v>100</v>
      </c>
      <c r="F52" s="10" t="n">
        <v>1.5</v>
      </c>
      <c r="G52" s="8" t="inlineStr"/>
      <c r="H52" s="9" t="inlineStr">
        <is>
          <t>AC200V 200W</t>
        </is>
      </c>
    </row>
    <row r="53" ht="17" customHeight="1">
      <c r="A53" s="7" t="inlineStr"/>
      <c r="B53" s="8" t="n">
        <v>43</v>
      </c>
      <c r="C53" s="9" t="inlineStr">
        <is>
          <t>SIDE_T3</t>
        </is>
      </c>
      <c r="D53" s="9" t="inlineStr">
        <is>
          <t>MADLN05BE</t>
        </is>
      </c>
      <c r="E53" s="8" t="n">
        <v>200</v>
      </c>
      <c r="F53" s="10" t="n">
        <v>0.9</v>
      </c>
      <c r="G53" s="8" t="inlineStr"/>
      <c r="H53" s="9" t="inlineStr">
        <is>
          <t>AC200V 100W</t>
        </is>
      </c>
    </row>
    <row r="54" ht="17" customHeight="1">
      <c r="A54" s="7" t="inlineStr"/>
      <c r="B54" s="8" t="n">
        <v>44</v>
      </c>
      <c r="C54" s="9" t="inlineStr">
        <is>
          <t>LO_EV</t>
        </is>
      </c>
      <c r="D54" s="9" t="inlineStr">
        <is>
          <t>MCDLN35BE</t>
        </is>
      </c>
      <c r="E54" s="8" t="n">
        <v>800</v>
      </c>
      <c r="F54" s="10" t="n">
        <v>5</v>
      </c>
      <c r="G54" s="8" t="inlineStr"/>
      <c r="H54" s="9" t="inlineStr">
        <is>
          <t>AC200V 750/800W</t>
        </is>
      </c>
    </row>
    <row r="55" ht="17" customHeight="1">
      <c r="A55" s="7" t="inlineStr"/>
      <c r="B55" s="8" t="n">
        <v>45</v>
      </c>
      <c r="C55" s="9" t="inlineStr">
        <is>
          <t>LO_FD</t>
        </is>
      </c>
      <c r="D55" s="9" t="inlineStr">
        <is>
          <t>MADLN05BE</t>
        </is>
      </c>
      <c r="E55" s="8" t="n">
        <v>100</v>
      </c>
      <c r="F55" s="10" t="n">
        <v>0.9</v>
      </c>
      <c r="G55" s="8" t="inlineStr"/>
      <c r="H55" s="9" t="inlineStr">
        <is>
          <t>AC200V 100W</t>
        </is>
      </c>
    </row>
    <row r="56" ht="17" customHeight="1">
      <c r="A56" s="7" t="inlineStr"/>
      <c r="B56" s="8" t="n">
        <v>46</v>
      </c>
      <c r="C56" s="9" t="inlineStr">
        <is>
          <t>LO_FD_Z</t>
        </is>
      </c>
      <c r="D56" s="9" t="inlineStr">
        <is>
          <t>MBDLN25BE</t>
        </is>
      </c>
      <c r="E56" s="8" t="n">
        <v>400</v>
      </c>
      <c r="F56" s="10" t="n">
        <v>2.5</v>
      </c>
      <c r="G56" s="8" t="inlineStr"/>
      <c r="H56" s="9" t="inlineStr">
        <is>
          <t>AC200V 400W</t>
        </is>
      </c>
    </row>
    <row r="57" ht="17" customHeight="1">
      <c r="A57" s="7" t="inlineStr"/>
      <c r="B57" s="8" t="n">
        <v>47</v>
      </c>
      <c r="C57" s="9" t="inlineStr">
        <is>
          <t>LO_FD_ALIGN</t>
        </is>
      </c>
      <c r="D57" s="9" t="inlineStr">
        <is>
          <t>MADLN05BE</t>
        </is>
      </c>
      <c r="E57" s="8" t="n">
        <v>100</v>
      </c>
      <c r="F57" s="10" t="n">
        <v>0.9</v>
      </c>
      <c r="G57" s="8" t="inlineStr"/>
      <c r="H57" s="9" t="inlineStr">
        <is>
          <t>AC200V 100W</t>
        </is>
      </c>
    </row>
    <row r="58" ht="17" customHeight="1">
      <c r="A58" s="7" t="inlineStr"/>
      <c r="B58" s="8" t="n">
        <v>48</v>
      </c>
      <c r="C58" s="9" t="inlineStr">
        <is>
          <t>LO_FD_INDEX</t>
        </is>
      </c>
      <c r="D58" s="9" t="inlineStr">
        <is>
          <t>MBDLN25BE</t>
        </is>
      </c>
      <c r="E58" s="8" t="n">
        <v>400</v>
      </c>
      <c r="F58" s="10" t="n">
        <v>2.5</v>
      </c>
      <c r="G58" s="8" t="inlineStr"/>
      <c r="H58" s="9" t="inlineStr">
        <is>
          <t>AC200V 400W</t>
        </is>
      </c>
    </row>
    <row r="59" ht="17" customHeight="1">
      <c r="A59" s="7" t="inlineStr"/>
      <c r="B59" s="8" t="n">
        <v>49</v>
      </c>
      <c r="C59" s="9" t="inlineStr">
        <is>
          <t>LO_EV_CONV</t>
        </is>
      </c>
      <c r="D59" s="9" t="inlineStr"/>
      <c r="E59" s="8" t="inlineStr"/>
      <c r="F59" s="8" t="inlineStr"/>
      <c r="G59" s="8" t="inlineStr"/>
      <c r="H59" s="9" t="inlineStr">
        <is>
          <t>DC24V</t>
        </is>
      </c>
    </row>
    <row r="60" ht="17" customHeight="1">
      <c r="A60" s="7" t="inlineStr"/>
      <c r="B60" s="8" t="n">
        <v>50</v>
      </c>
      <c r="C60" s="9" t="inlineStr">
        <is>
          <t>ULO_EV_CONV</t>
        </is>
      </c>
      <c r="D60" s="9" t="inlineStr"/>
      <c r="E60" s="8" t="inlineStr"/>
      <c r="F60" s="8" t="inlineStr"/>
      <c r="G60" s="8" t="inlineStr"/>
      <c r="H60" s="9" t="inlineStr">
        <is>
          <t>DC24V</t>
        </is>
      </c>
    </row>
    <row r="61" ht="17" customHeight="1">
      <c r="A61" s="7" t="inlineStr"/>
      <c r="B61" s="8" t="n">
        <v>51</v>
      </c>
      <c r="C61" s="9" t="inlineStr">
        <is>
          <t>NG_EV_LO_CONV</t>
        </is>
      </c>
      <c r="D61" s="9" t="inlineStr"/>
      <c r="E61" s="8" t="inlineStr"/>
      <c r="F61" s="8" t="inlineStr"/>
      <c r="G61" s="8" t="inlineStr"/>
      <c r="H61" s="9" t="inlineStr">
        <is>
          <t>DC24V</t>
        </is>
      </c>
    </row>
    <row r="62" ht="17" customHeight="1">
      <c r="A62" s="7" t="inlineStr"/>
      <c r="B62" s="8" t="n">
        <v>52</v>
      </c>
      <c r="C62" s="9" t="inlineStr">
        <is>
          <t>NG_EV_ULO_CONV</t>
        </is>
      </c>
      <c r="D62" s="9" t="inlineStr"/>
      <c r="E62" s="8" t="inlineStr"/>
      <c r="F62" s="8" t="inlineStr"/>
      <c r="G62" s="8" t="inlineStr"/>
      <c r="H62" s="9" t="inlineStr">
        <is>
          <t>DC24V</t>
        </is>
      </c>
    </row>
    <row r="63" ht="17" customHeight="1">
      <c r="A63" s="7" t="inlineStr"/>
      <c r="B63" s="8" t="n">
        <v>53</v>
      </c>
      <c r="C63" s="9" t="inlineStr">
        <is>
          <t>GOOD_EV_LO_CONV</t>
        </is>
      </c>
      <c r="D63" s="9" t="inlineStr"/>
      <c r="E63" s="8" t="inlineStr"/>
      <c r="F63" s="8" t="inlineStr"/>
      <c r="G63" s="8" t="inlineStr"/>
      <c r="H63" s="9" t="inlineStr">
        <is>
          <t>DC24V</t>
        </is>
      </c>
    </row>
    <row r="64" ht="17" customHeight="1">
      <c r="A64" s="7" t="inlineStr"/>
      <c r="B64" s="8" t="n">
        <v>54</v>
      </c>
      <c r="C64" s="9" t="inlineStr">
        <is>
          <t>GOOD_EV_ULO_CONV</t>
        </is>
      </c>
      <c r="D64" s="9" t="inlineStr">
        <is>
          <t>MSMF042L1S2</t>
        </is>
      </c>
      <c r="E64" s="8" t="inlineStr"/>
      <c r="F64" s="8" t="inlineStr"/>
      <c r="G64" s="8" t="inlineStr"/>
      <c r="H64" s="9" t="inlineStr">
        <is>
          <t>DC24V</t>
        </is>
      </c>
    </row>
    <row r="65" ht="18" customHeight="1">
      <c r="A65" s="11" t="inlineStr">
        <is>
          <t>▶ 판넬3 합계</t>
        </is>
      </c>
      <c r="I65" s="11">
        <f>SUM(F43:F64)</f>
        <v/>
      </c>
      <c r="J65" s="11">
        <f>I65*1.25</f>
        <v/>
      </c>
      <c r="K65" s="11" t="inlineStr">
        <is>
          <t>(자동계산)</t>
        </is>
      </c>
      <c r="L65" s="11" t="inlineStr"/>
      <c r="M65" s="11">
        <f>SUM(G43:G64)</f>
        <v/>
      </c>
      <c r="N65" s="11">
        <f>M65*1.25</f>
        <v/>
      </c>
      <c r="O65" s="11" t="inlineStr">
        <is>
          <t>(자동계산)</t>
        </is>
      </c>
      <c r="P65" s="11" t="inlineStr"/>
    </row>
    <row r="66" ht="5" customHeight="1"/>
    <row r="67" ht="17" customHeight="1">
      <c r="A67" s="7" t="inlineStr">
        <is>
          <t>판넬 4</t>
        </is>
      </c>
      <c r="B67" s="8" t="n">
        <v>55</v>
      </c>
      <c r="C67" s="9" t="inlineStr">
        <is>
          <t>TOP_MAC_Y</t>
        </is>
      </c>
      <c r="D67" s="9" t="inlineStr">
        <is>
          <t>MADLN15BE</t>
        </is>
      </c>
      <c r="E67" s="8" t="n">
        <v>200</v>
      </c>
      <c r="F67" s="10" t="n">
        <v>1.5</v>
      </c>
      <c r="G67" s="8" t="inlineStr"/>
      <c r="H67" s="9" t="inlineStr">
        <is>
          <t>AC200V 200W</t>
        </is>
      </c>
    </row>
    <row r="68" ht="17" customHeight="1">
      <c r="A68" s="7" t="inlineStr"/>
      <c r="B68" s="8" t="n">
        <v>56</v>
      </c>
      <c r="C68" s="9" t="inlineStr">
        <is>
          <t>TOP_MAC_X</t>
        </is>
      </c>
      <c r="D68" s="9" t="inlineStr">
        <is>
          <t>MADLN15BE</t>
        </is>
      </c>
      <c r="E68" s="8" t="n">
        <v>200</v>
      </c>
      <c r="F68" s="10" t="n">
        <v>1.5</v>
      </c>
      <c r="G68" s="8" t="inlineStr"/>
      <c r="H68" s="9" t="inlineStr">
        <is>
          <t>AC200V 200W</t>
        </is>
      </c>
    </row>
    <row r="69" ht="17" customHeight="1">
      <c r="A69" s="7" t="inlineStr"/>
      <c r="B69" s="8" t="n">
        <v>57</v>
      </c>
      <c r="C69" s="9" t="inlineStr">
        <is>
          <t>TOP_MAC_Z</t>
        </is>
      </c>
      <c r="D69" s="9" t="inlineStr">
        <is>
          <t>MADLN05BE</t>
        </is>
      </c>
      <c r="E69" s="8" t="n">
        <v>100</v>
      </c>
      <c r="F69" s="10" t="n">
        <v>0.9</v>
      </c>
      <c r="G69" s="8" t="inlineStr"/>
      <c r="H69" s="9" t="inlineStr">
        <is>
          <t>AC200V 100W</t>
        </is>
      </c>
    </row>
    <row r="70" ht="17" customHeight="1">
      <c r="A70" s="7" t="inlineStr"/>
      <c r="B70" s="8" t="n">
        <v>58</v>
      </c>
      <c r="C70" s="9" t="inlineStr">
        <is>
          <t>TOP_MIC_Y</t>
        </is>
      </c>
      <c r="D70" s="9" t="inlineStr">
        <is>
          <t>MADLN15BE</t>
        </is>
      </c>
      <c r="E70" s="8" t="n">
        <v>200</v>
      </c>
      <c r="F70" s="10" t="n">
        <v>1.5</v>
      </c>
      <c r="G70" s="8" t="inlineStr"/>
      <c r="H70" s="9" t="inlineStr">
        <is>
          <t>AC200V 200W</t>
        </is>
      </c>
    </row>
    <row r="71" ht="17" customHeight="1">
      <c r="A71" s="7" t="inlineStr"/>
      <c r="B71" s="8" t="n">
        <v>59</v>
      </c>
      <c r="C71" s="9" t="inlineStr">
        <is>
          <t>TOP_MIC_X</t>
        </is>
      </c>
      <c r="D71" s="9" t="inlineStr">
        <is>
          <t>MADLN15BE</t>
        </is>
      </c>
      <c r="E71" s="8" t="n">
        <v>200</v>
      </c>
      <c r="F71" s="10" t="n">
        <v>1.5</v>
      </c>
      <c r="G71" s="8" t="inlineStr"/>
      <c r="H71" s="9" t="inlineStr">
        <is>
          <t>AC200V 200W</t>
        </is>
      </c>
    </row>
    <row r="72" ht="17" customHeight="1">
      <c r="A72" s="7" t="inlineStr"/>
      <c r="B72" s="8" t="n">
        <v>60</v>
      </c>
      <c r="C72" s="9" t="inlineStr">
        <is>
          <t>TOP_MIC_Z</t>
        </is>
      </c>
      <c r="D72" s="9" t="inlineStr">
        <is>
          <t>MADLN05BE</t>
        </is>
      </c>
      <c r="E72" s="8" t="n">
        <v>100</v>
      </c>
      <c r="F72" s="10" t="n">
        <v>0.9</v>
      </c>
      <c r="G72" s="8" t="inlineStr"/>
      <c r="H72" s="9" t="inlineStr">
        <is>
          <t>AC200V 100W</t>
        </is>
      </c>
    </row>
    <row r="73" ht="17" customHeight="1">
      <c r="A73" s="7" t="inlineStr"/>
      <c r="B73" s="8" t="n">
        <v>61</v>
      </c>
      <c r="C73" s="9" t="inlineStr">
        <is>
          <t>INSPEC_CONV1</t>
        </is>
      </c>
      <c r="D73" s="9" t="inlineStr">
        <is>
          <t>MADLN15BE</t>
        </is>
      </c>
      <c r="E73" s="8" t="n">
        <v>200</v>
      </c>
      <c r="F73" s="10" t="n">
        <v>1.5</v>
      </c>
      <c r="G73" s="8" t="inlineStr"/>
      <c r="H73" s="9" t="inlineStr">
        <is>
          <t>AC200V 200W</t>
        </is>
      </c>
    </row>
    <row r="74" ht="17" customHeight="1">
      <c r="A74" s="7" t="inlineStr"/>
      <c r="B74" s="8" t="n">
        <v>62</v>
      </c>
      <c r="C74" s="9" t="inlineStr">
        <is>
          <t>INSPEC_CONV2</t>
        </is>
      </c>
      <c r="D74" s="9" t="inlineStr">
        <is>
          <t>MADLN15BE</t>
        </is>
      </c>
      <c r="E74" s="8" t="n">
        <v>200</v>
      </c>
      <c r="F74" s="10" t="n">
        <v>1.5</v>
      </c>
      <c r="G74" s="8" t="inlineStr"/>
      <c r="H74" s="9" t="inlineStr">
        <is>
          <t>AC200V 200W</t>
        </is>
      </c>
    </row>
    <row r="75" ht="17" customHeight="1">
      <c r="A75" s="7" t="inlineStr"/>
      <c r="B75" s="8" t="n">
        <v>63</v>
      </c>
      <c r="C75" s="9" t="inlineStr">
        <is>
          <t>JIG_PLATE_CONV1</t>
        </is>
      </c>
      <c r="D75" s="9" t="inlineStr">
        <is>
          <t>MADLN15BE</t>
        </is>
      </c>
      <c r="E75" s="8" t="n">
        <v>200</v>
      </c>
      <c r="F75" s="10" t="n">
        <v>1.5</v>
      </c>
      <c r="G75" s="8" t="inlineStr"/>
      <c r="H75" s="9" t="inlineStr">
        <is>
          <t>AC200V 200W</t>
        </is>
      </c>
    </row>
    <row r="76" ht="17" customHeight="1">
      <c r="A76" s="7" t="inlineStr"/>
      <c r="B76" s="8" t="n">
        <v>64</v>
      </c>
      <c r="C76" s="9" t="inlineStr">
        <is>
          <t>JIG_PLATE_CONV2</t>
        </is>
      </c>
      <c r="D76" s="9" t="inlineStr">
        <is>
          <t>MADLN15BE</t>
        </is>
      </c>
      <c r="E76" s="8" t="n">
        <v>200</v>
      </c>
      <c r="F76" s="10" t="n">
        <v>1.5</v>
      </c>
      <c r="G76" s="8" t="inlineStr"/>
      <c r="H76" s="9" t="inlineStr">
        <is>
          <t>AC200V 200W</t>
        </is>
      </c>
    </row>
    <row r="77" ht="17" customHeight="1">
      <c r="A77" s="7" t="inlineStr"/>
      <c r="B77" s="8" t="n">
        <v>65</v>
      </c>
      <c r="C77" s="9" t="inlineStr">
        <is>
          <t>LO_JIG_TRANSFER_Y</t>
        </is>
      </c>
      <c r="D77" s="9" t="inlineStr">
        <is>
          <t>MADLN05BE</t>
        </is>
      </c>
      <c r="E77" s="8" t="n">
        <v>100</v>
      </c>
      <c r="F77" s="10" t="n">
        <v>0.9</v>
      </c>
      <c r="G77" s="8" t="inlineStr"/>
      <c r="H77" s="9" t="inlineStr">
        <is>
          <t>AC200V 100W</t>
        </is>
      </c>
    </row>
    <row r="78" ht="17" customHeight="1">
      <c r="A78" s="7" t="inlineStr"/>
      <c r="B78" s="8" t="n">
        <v>66</v>
      </c>
      <c r="C78" s="9" t="inlineStr">
        <is>
          <t>LO_JIG_TRANSFER_Z</t>
        </is>
      </c>
      <c r="D78" s="9" t="inlineStr">
        <is>
          <t>MADLN05BE</t>
        </is>
      </c>
      <c r="E78" s="8" t="n">
        <v>100</v>
      </c>
      <c r="F78" s="10" t="n">
        <v>0.9</v>
      </c>
      <c r="G78" s="8" t="inlineStr"/>
      <c r="H78" s="9" t="inlineStr">
        <is>
          <t>AC200V 100W</t>
        </is>
      </c>
    </row>
    <row r="79" ht="17" customHeight="1">
      <c r="A79" s="7" t="inlineStr"/>
      <c r="B79" s="8" t="n">
        <v>67</v>
      </c>
      <c r="C79" s="9" t="inlineStr">
        <is>
          <t>TURN_PLATE</t>
        </is>
      </c>
      <c r="D79" s="9" t="inlineStr">
        <is>
          <t>MADLN05BE</t>
        </is>
      </c>
      <c r="E79" s="8" t="n">
        <v>100</v>
      </c>
      <c r="F79" s="10" t="n">
        <v>0.9</v>
      </c>
      <c r="G79" s="8" t="inlineStr"/>
      <c r="H79" s="9" t="inlineStr">
        <is>
          <t>AC200V 100W</t>
        </is>
      </c>
    </row>
    <row r="80" ht="17" customHeight="1">
      <c r="A80" s="7" t="inlineStr"/>
      <c r="B80" s="8" t="n">
        <v>68</v>
      </c>
      <c r="C80" s="9" t="inlineStr">
        <is>
          <t>INSEPC_Y</t>
        </is>
      </c>
      <c r="D80" s="9" t="inlineStr">
        <is>
          <t>MDDLN55BL</t>
        </is>
      </c>
      <c r="E80" s="8" t="inlineStr"/>
      <c r="F80" s="10" t="n">
        <v>8.5</v>
      </c>
      <c r="G80" s="8" t="inlineStr"/>
      <c r="H80" s="9" t="inlineStr">
        <is>
          <t>AC200V Linear</t>
        </is>
      </c>
    </row>
    <row r="81" ht="17" customHeight="1">
      <c r="A81" s="7" t="inlineStr"/>
      <c r="B81" s="8" t="n">
        <v>69</v>
      </c>
      <c r="C81" s="9" t="inlineStr">
        <is>
          <t>INSPEC_X</t>
        </is>
      </c>
      <c r="D81" s="9" t="inlineStr">
        <is>
          <t>MCDLN35BL</t>
        </is>
      </c>
      <c r="E81" s="8" t="inlineStr"/>
      <c r="F81" s="10" t="n">
        <v>5</v>
      </c>
      <c r="G81" s="8" t="inlineStr"/>
      <c r="H81" s="9" t="inlineStr">
        <is>
          <t>AC200V Linear</t>
        </is>
      </c>
    </row>
    <row r="82" ht="17" customHeight="1">
      <c r="A82" s="7" t="inlineStr"/>
      <c r="B82" s="8" t="n">
        <v>70</v>
      </c>
      <c r="C82" s="9" t="inlineStr">
        <is>
          <t>INSPEC_Z1</t>
        </is>
      </c>
      <c r="D82" s="9" t="inlineStr">
        <is>
          <t>MADLN05BE</t>
        </is>
      </c>
      <c r="E82" s="8" t="n">
        <v>100</v>
      </c>
      <c r="F82" s="10" t="n">
        <v>0.9</v>
      </c>
      <c r="G82" s="8" t="inlineStr"/>
      <c r="H82" s="9" t="inlineStr">
        <is>
          <t>AC200V 100W</t>
        </is>
      </c>
    </row>
    <row r="83" ht="17" customHeight="1">
      <c r="A83" s="7" t="inlineStr"/>
      <c r="B83" s="8" t="n">
        <v>71</v>
      </c>
      <c r="C83" s="9" t="inlineStr">
        <is>
          <t>INSPEC_Z2</t>
        </is>
      </c>
      <c r="D83" s="9" t="inlineStr">
        <is>
          <t>MADLN05BE</t>
        </is>
      </c>
      <c r="E83" s="8" t="n">
        <v>100</v>
      </c>
      <c r="F83" s="10" t="n">
        <v>0.9</v>
      </c>
      <c r="G83" s="8" t="inlineStr"/>
      <c r="H83" s="9" t="inlineStr">
        <is>
          <t>AC200V 100W</t>
        </is>
      </c>
    </row>
    <row r="84" ht="17" customHeight="1">
      <c r="A84" s="7" t="inlineStr"/>
      <c r="B84" s="8" t="n">
        <v>72</v>
      </c>
      <c r="C84" s="9" t="inlineStr">
        <is>
          <t>INSPEC_R1</t>
        </is>
      </c>
      <c r="D84" s="9" t="inlineStr">
        <is>
          <t>Ezi-EC-42XL-A</t>
        </is>
      </c>
      <c r="E84" s="8" t="inlineStr"/>
      <c r="F84" s="8" t="inlineStr"/>
      <c r="G84" s="10" t="n">
        <v>2</v>
      </c>
      <c r="H84" s="9" t="inlineStr">
        <is>
          <t>DC24V StepServo</t>
        </is>
      </c>
    </row>
    <row r="85" ht="17" customHeight="1">
      <c r="A85" s="7" t="inlineStr"/>
      <c r="B85" s="8" t="n">
        <v>73</v>
      </c>
      <c r="C85" s="9" t="inlineStr">
        <is>
          <t>INSEPC_R2</t>
        </is>
      </c>
      <c r="D85" s="9" t="inlineStr">
        <is>
          <t>Ezi-EC-42XL-A</t>
        </is>
      </c>
      <c r="E85" s="8" t="inlineStr"/>
      <c r="F85" s="8" t="inlineStr"/>
      <c r="G85" s="10" t="n">
        <v>2</v>
      </c>
      <c r="H85" s="9" t="inlineStr">
        <is>
          <t>DC24V StepServo</t>
        </is>
      </c>
    </row>
    <row r="86" ht="17" customHeight="1">
      <c r="A86" s="7" t="inlineStr"/>
      <c r="B86" s="8" t="n">
        <v>74</v>
      </c>
      <c r="C86" s="9" t="inlineStr">
        <is>
          <t>TURN_GRIPPER_R1</t>
        </is>
      </c>
      <c r="D86" s="9" t="inlineStr">
        <is>
          <t>Ezi-EC-42XL-A</t>
        </is>
      </c>
      <c r="E86" s="8" t="inlineStr"/>
      <c r="F86" s="8" t="inlineStr"/>
      <c r="G86" s="10" t="n">
        <v>2</v>
      </c>
      <c r="H86" s="9" t="inlineStr">
        <is>
          <t>DC24V StepServo</t>
        </is>
      </c>
    </row>
    <row r="87" ht="17" customHeight="1">
      <c r="A87" s="7" t="inlineStr"/>
      <c r="B87" s="8" t="n">
        <v>75</v>
      </c>
      <c r="C87" s="9" t="inlineStr">
        <is>
          <t>TURN_GRIPPER_R2</t>
        </is>
      </c>
      <c r="D87" s="9" t="inlineStr">
        <is>
          <t>Ezi-EC-42XL-A</t>
        </is>
      </c>
      <c r="E87" s="8" t="inlineStr"/>
      <c r="F87" s="8" t="inlineStr"/>
      <c r="G87" s="10" t="n">
        <v>2</v>
      </c>
      <c r="H87" s="9" t="inlineStr">
        <is>
          <t>DC24V StepServo</t>
        </is>
      </c>
    </row>
    <row r="88" ht="17" customHeight="1">
      <c r="A88" s="7" t="inlineStr"/>
      <c r="B88" s="8" t="n">
        <v>76</v>
      </c>
      <c r="C88" s="9" t="inlineStr">
        <is>
          <t>TURN_R1</t>
        </is>
      </c>
      <c r="D88" s="9" t="inlineStr">
        <is>
          <t>Ezi-EC-42M-A</t>
        </is>
      </c>
      <c r="E88" s="8" t="inlineStr"/>
      <c r="F88" s="8" t="inlineStr"/>
      <c r="G88" s="10" t="n">
        <v>1.5</v>
      </c>
      <c r="H88" s="9" t="inlineStr">
        <is>
          <t>DC24V StepServo</t>
        </is>
      </c>
    </row>
    <row r="89" ht="17" customHeight="1">
      <c r="A89" s="7" t="inlineStr"/>
      <c r="B89" s="8" t="n">
        <v>77</v>
      </c>
      <c r="C89" s="9" t="inlineStr">
        <is>
          <t>TURN_R2</t>
        </is>
      </c>
      <c r="D89" s="9" t="inlineStr">
        <is>
          <t>Ezi-EC-42M-A</t>
        </is>
      </c>
      <c r="E89" s="8" t="inlineStr"/>
      <c r="F89" s="8" t="inlineStr"/>
      <c r="G89" s="10" t="n">
        <v>1.5</v>
      </c>
      <c r="H89" s="9" t="inlineStr">
        <is>
          <t>DC24V StepServo</t>
        </is>
      </c>
    </row>
    <row r="90" ht="18" customHeight="1">
      <c r="A90" s="11" t="inlineStr">
        <is>
          <t>▶ 판넬 4 합계</t>
        </is>
      </c>
      <c r="I90" s="11">
        <f>SUM(F67:F89)</f>
        <v/>
      </c>
      <c r="J90" s="11">
        <f>I90*1.25</f>
        <v/>
      </c>
      <c r="K90" s="11" t="inlineStr">
        <is>
          <t>(자동계산)</t>
        </is>
      </c>
      <c r="L90" s="11" t="inlineStr"/>
      <c r="M90" s="11">
        <f>SUM(G67:G89)</f>
        <v/>
      </c>
      <c r="N90" s="11">
        <f>M90*1.25</f>
        <v/>
      </c>
      <c r="O90" s="11" t="inlineStr">
        <is>
          <t>(자동계산)</t>
        </is>
      </c>
      <c r="P90" s="11" t="inlineStr"/>
    </row>
    <row r="91" ht="5" customHeight="1"/>
    <row r="93">
      <c r="A93" s="12" t="inlineStr">
        <is>
          <t>【 수식 설명 】</t>
        </is>
      </c>
    </row>
    <row r="94" ht="15" customHeight="1">
      <c r="A94" s="13" t="inlineStr">
        <is>
          <t>① AC 전류 (A) = 드라이버 정격입력전류 (파나소닉 A6 스펙시트 기준, 단상 AC200V)</t>
        </is>
      </c>
    </row>
    <row r="95" ht="15" customHeight="1">
      <c r="A95" s="13" t="inlineStr">
        <is>
          <t>② DC24V 전류 (A) = EziServo/EziSpeed 정격전류 (파스텍 스펙시트 기준)</t>
        </is>
      </c>
    </row>
    <row r="96" ht="15" customHeight="1">
      <c r="A96" s="13" t="inlineStr">
        <is>
          <t>③ AC 합계 = Σ(각 축 AC 운전전류)</t>
        </is>
      </c>
    </row>
    <row r="97" ht="15" customHeight="1">
      <c r="A97" s="13" t="inlineStr">
        <is>
          <t>④ AC×1.25 = 합계전류 × 안전계수 1.25 → 차단기 정격 산정 기준</t>
        </is>
      </c>
    </row>
    <row r="98" ht="15" customHeight="1">
      <c r="A98" s="13" t="inlineStr">
        <is>
          <t>⑤ DC24V 합계 = Σ(EziServo/EziSpeed DC 전류)</t>
        </is>
      </c>
    </row>
    <row r="99" ht="15" customHeight="1">
      <c r="A99" s="13" t="inlineStr">
        <is>
          <t>⑥ Linear 드라이버(MCDLN35BL, MDDLN55BL)는 실측 전류 입력 권장</t>
        </is>
      </c>
    </row>
  </sheetData>
  <mergeCells count="21">
    <mergeCell ref="C4:C5"/>
    <mergeCell ref="E4:E5"/>
    <mergeCell ref="A97:P97"/>
    <mergeCell ref="A96:P96"/>
    <mergeCell ref="A93:P93"/>
    <mergeCell ref="A65:H65"/>
    <mergeCell ref="D4:D5"/>
    <mergeCell ref="A41:H41"/>
    <mergeCell ref="A90:H90"/>
    <mergeCell ref="A98:P98"/>
    <mergeCell ref="A21:H21"/>
    <mergeCell ref="A1:P1"/>
    <mergeCell ref="A4:A5"/>
    <mergeCell ref="G4:G5"/>
    <mergeCell ref="A94:P94"/>
    <mergeCell ref="A99:P99"/>
    <mergeCell ref="I4:P4"/>
    <mergeCell ref="B4:B5"/>
    <mergeCell ref="F4:F5"/>
    <mergeCell ref="H4:H5"/>
    <mergeCell ref="A95:P9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2" customWidth="1" min="5" max="5"/>
    <col width="20" customWidth="1" min="6" max="6"/>
    <col width="10" customWidth="1" min="7" max="7"/>
  </cols>
  <sheetData>
    <row r="1" ht="22" customHeight="1">
      <c r="A1" s="14" t="inlineStr">
        <is>
          <t>파나소닉 A6 서보드라이버 규격표 (단상 AC200V 기준)</t>
        </is>
      </c>
    </row>
    <row r="2" ht="5" customHeight="1"/>
    <row r="3" ht="22" customHeight="1">
      <c r="A3" s="4" t="inlineStr">
        <is>
          <t>모델</t>
        </is>
      </c>
      <c r="B3" s="4" t="inlineStr">
        <is>
          <t>정격출력(W)</t>
        </is>
      </c>
      <c r="C3" s="4" t="inlineStr">
        <is>
          <t>정격입력전류(A)</t>
        </is>
      </c>
      <c r="D3" s="4" t="inlineStr">
        <is>
          <t>입력전압</t>
        </is>
      </c>
      <c r="E3" s="4" t="inlineStr">
        <is>
          <t>통신</t>
        </is>
      </c>
      <c r="F3" s="4" t="inlineStr">
        <is>
          <t>비고</t>
        </is>
      </c>
      <c r="G3" s="4" t="inlineStr">
        <is>
          <t>비고2</t>
        </is>
      </c>
    </row>
    <row r="4" ht="16" customHeight="1">
      <c r="A4" s="7" t="inlineStr">
        <is>
          <t>MADLN05BE</t>
        </is>
      </c>
      <c r="B4" s="8" t="n">
        <v>100</v>
      </c>
      <c r="C4" s="15" t="n">
        <v>0.9</v>
      </c>
      <c r="D4" s="8" t="inlineStr">
        <is>
          <t>AC100/200V</t>
        </is>
      </c>
      <c r="E4" s="8" t="inlineStr">
        <is>
          <t>EtherCAT</t>
        </is>
      </c>
      <c r="F4" s="8" t="inlineStr">
        <is>
          <t>소형 서보, I/O</t>
        </is>
      </c>
    </row>
    <row r="5" ht="16" customHeight="1">
      <c r="A5" s="7" t="inlineStr">
        <is>
          <t>MADLN10BE</t>
        </is>
      </c>
      <c r="B5" s="8" t="n">
        <v>100</v>
      </c>
      <c r="C5" s="15" t="n">
        <v>1.2</v>
      </c>
      <c r="D5" s="8" t="inlineStr">
        <is>
          <t>AC100/200V</t>
        </is>
      </c>
      <c r="E5" s="8" t="inlineStr">
        <is>
          <t>EtherCAT</t>
        </is>
      </c>
      <c r="F5" s="8" t="inlineStr"/>
    </row>
    <row r="6" ht="16" customHeight="1">
      <c r="A6" s="7" t="inlineStr">
        <is>
          <t>MADLN15BE</t>
        </is>
      </c>
      <c r="B6" s="8" t="n">
        <v>200</v>
      </c>
      <c r="C6" s="15" t="n">
        <v>1.5</v>
      </c>
      <c r="D6" s="8" t="inlineStr">
        <is>
          <t>AC100/200V</t>
        </is>
      </c>
      <c r="E6" s="8" t="inlineStr">
        <is>
          <t>EtherCAT</t>
        </is>
      </c>
      <c r="F6" s="8" t="inlineStr"/>
    </row>
    <row r="7" ht="16" customHeight="1">
      <c r="A7" s="7" t="inlineStr">
        <is>
          <t>MADLN23BE</t>
        </is>
      </c>
      <c r="B7" s="8" t="n">
        <v>400</v>
      </c>
      <c r="C7" s="15" t="n">
        <v>2.3</v>
      </c>
      <c r="D7" s="8" t="inlineStr">
        <is>
          <t>AC100/200V</t>
        </is>
      </c>
      <c r="E7" s="8" t="inlineStr">
        <is>
          <t>EtherCAT</t>
        </is>
      </c>
      <c r="F7" s="8" t="inlineStr"/>
    </row>
    <row r="8" ht="16" customHeight="1">
      <c r="A8" s="7" t="inlineStr">
        <is>
          <t>MBDLN25BE</t>
        </is>
      </c>
      <c r="B8" s="8" t="n">
        <v>400</v>
      </c>
      <c r="C8" s="15" t="n">
        <v>2.5</v>
      </c>
      <c r="D8" s="8" t="inlineStr">
        <is>
          <t>AC100/200V</t>
        </is>
      </c>
      <c r="E8" s="8" t="inlineStr">
        <is>
          <t>EtherCAT</t>
        </is>
      </c>
      <c r="F8" s="8" t="inlineStr"/>
    </row>
    <row r="9" ht="16" customHeight="1">
      <c r="A9" s="7" t="inlineStr">
        <is>
          <t>MBDLN55BE</t>
        </is>
      </c>
      <c r="B9" s="8" t="n">
        <v>750</v>
      </c>
      <c r="C9" s="15" t="n">
        <v>5</v>
      </c>
      <c r="D9" s="8" t="inlineStr">
        <is>
          <t>AC200V</t>
        </is>
      </c>
      <c r="E9" s="8" t="inlineStr">
        <is>
          <t>EtherCAT</t>
        </is>
      </c>
      <c r="F9" s="8" t="inlineStr"/>
    </row>
    <row r="10" ht="16" customHeight="1">
      <c r="A10" s="7" t="inlineStr">
        <is>
          <t>MCDLN35BE</t>
        </is>
      </c>
      <c r="B10" s="8" t="n">
        <v>750</v>
      </c>
      <c r="C10" s="15" t="n">
        <v>5</v>
      </c>
      <c r="D10" s="8" t="inlineStr">
        <is>
          <t>AC200V</t>
        </is>
      </c>
      <c r="E10" s="8" t="inlineStr">
        <is>
          <t>EtherCAT</t>
        </is>
      </c>
      <c r="F10" s="8" t="inlineStr">
        <is>
          <t>800W 포함</t>
        </is>
      </c>
    </row>
    <row r="11" ht="16" customHeight="1">
      <c r="A11" s="7" t="inlineStr">
        <is>
          <t>MCDLN35BL</t>
        </is>
      </c>
      <c r="B11" s="8" t="inlineStr">
        <is>
          <t>-</t>
        </is>
      </c>
      <c r="C11" s="15" t="n">
        <v>5</v>
      </c>
      <c r="D11" s="8" t="inlineStr">
        <is>
          <t>AC200V</t>
        </is>
      </c>
      <c r="E11" s="8" t="inlineStr">
        <is>
          <t>EtherCAT</t>
        </is>
      </c>
      <c r="F11" s="8" t="inlineStr">
        <is>
          <t>Linear Motor Driver</t>
        </is>
      </c>
    </row>
    <row r="12" ht="16" customHeight="1">
      <c r="A12" s="7" t="inlineStr">
        <is>
          <t>MDDLN55BL</t>
        </is>
      </c>
      <c r="B12" s="8" t="inlineStr">
        <is>
          <t>-</t>
        </is>
      </c>
      <c r="C12" s="15" t="n">
        <v>8.5</v>
      </c>
      <c r="D12" s="8" t="inlineStr">
        <is>
          <t>AC200V</t>
        </is>
      </c>
      <c r="E12" s="8" t="inlineStr">
        <is>
          <t>EtherCAT</t>
        </is>
      </c>
      <c r="F12" s="8" t="inlineStr">
        <is>
          <t>Linear Motor Driver (고전류)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22" customWidth="1" min="6" max="6"/>
    <col width="10" customWidth="1" min="7" max="7"/>
  </cols>
  <sheetData>
    <row r="1" ht="22" customHeight="1">
      <c r="A1" s="14" t="inlineStr">
        <is>
          <t>파스텍 EziServo / EziSpeed 규격표</t>
        </is>
      </c>
    </row>
    <row r="2" ht="5" customHeight="1"/>
    <row r="3" ht="22" customHeight="1">
      <c r="A3" s="4" t="inlineStr">
        <is>
          <t>모델</t>
        </is>
      </c>
      <c r="B3" s="4" t="inlineStr">
        <is>
          <t>전원</t>
        </is>
      </c>
      <c r="C3" s="4" t="inlineStr">
        <is>
          <t>정격전류(A)</t>
        </is>
      </c>
      <c r="D3" s="4" t="inlineStr">
        <is>
          <t>통신</t>
        </is>
      </c>
      <c r="E3" s="4" t="inlineStr">
        <is>
          <t>최대토크</t>
        </is>
      </c>
      <c r="F3" s="4" t="inlineStr">
        <is>
          <t>비고</t>
        </is>
      </c>
      <c r="G3" s="4" t="inlineStr"/>
    </row>
    <row r="4" ht="16" customHeight="1">
      <c r="A4" s="16" t="inlineStr">
        <is>
          <t>Ezi-EC-42XL-A</t>
        </is>
      </c>
      <c r="B4" s="8" t="inlineStr">
        <is>
          <t>DC 24V</t>
        </is>
      </c>
      <c r="C4" s="15" t="n">
        <v>2</v>
      </c>
      <c r="D4" s="8" t="inlineStr">
        <is>
          <t>EtherCAT</t>
        </is>
      </c>
      <c r="E4" s="8" t="inlineStr">
        <is>
          <t>1.2 N·m</t>
        </is>
      </c>
      <c r="F4" s="8" t="inlineStr">
        <is>
          <t>EziServo EC 소형</t>
        </is>
      </c>
    </row>
    <row r="5" ht="16" customHeight="1">
      <c r="A5" s="16" t="inlineStr">
        <is>
          <t>Ezi-EC-42M-A</t>
        </is>
      </c>
      <c r="B5" s="8" t="inlineStr">
        <is>
          <t>DC 24V</t>
        </is>
      </c>
      <c r="C5" s="15" t="n">
        <v>1.5</v>
      </c>
      <c r="D5" s="8" t="inlineStr">
        <is>
          <t>EtherCAT</t>
        </is>
      </c>
      <c r="E5" s="8" t="inlineStr">
        <is>
          <t>0.6 N·m</t>
        </is>
      </c>
      <c r="F5" s="8" t="inlineStr">
        <is>
          <t>EziServo EC 미니</t>
        </is>
      </c>
    </row>
    <row r="6" ht="16" customHeight="1">
      <c r="A6" s="16" t="inlineStr">
        <is>
          <t>EZI-SPEED60H30CR100P</t>
        </is>
      </c>
      <c r="B6" s="8" t="inlineStr">
        <is>
          <t>DC 24V</t>
        </is>
      </c>
      <c r="C6" s="15" t="n">
        <v>3</v>
      </c>
      <c r="D6" s="8" t="inlineStr">
        <is>
          <t>EtherCAT</t>
        </is>
      </c>
      <c r="E6" s="8" t="inlineStr">
        <is>
          <t>N/A</t>
        </is>
      </c>
      <c r="F6" s="8" t="inlineStr">
        <is>
          <t>컨베이어 전용 서보</t>
        </is>
      </c>
    </row>
    <row r="7" ht="16" customHeight="1">
      <c r="A7" s="16" t="inlineStr">
        <is>
          <t>EM542S</t>
        </is>
      </c>
      <c r="B7" s="8" t="inlineStr">
        <is>
          <t>DC 20~50V</t>
        </is>
      </c>
      <c r="C7" s="15" t="n">
        <v>4.2</v>
      </c>
      <c r="D7" s="8" t="inlineStr">
        <is>
          <t>Pulse/Dir</t>
        </is>
      </c>
      <c r="E7" s="8" t="inlineStr">
        <is>
          <t>N/A</t>
        </is>
      </c>
      <c r="F7" s="8" t="inlineStr">
        <is>
          <t>스텝드라이버 (단독)</t>
        </is>
      </c>
    </row>
    <row r="8" ht="16" customHeight="1">
      <c r="A8" s="16" t="inlineStr">
        <is>
          <t>EM806</t>
        </is>
      </c>
      <c r="B8" s="8" t="inlineStr">
        <is>
          <t>DC 24~80V</t>
        </is>
      </c>
      <c r="C8" s="15" t="n">
        <v>8</v>
      </c>
      <c r="D8" s="8" t="inlineStr">
        <is>
          <t>Pulse/Dir</t>
        </is>
      </c>
      <c r="E8" s="8" t="inlineStr">
        <is>
          <t>N/A</t>
        </is>
      </c>
      <c r="F8" s="8" t="inlineStr">
        <is>
          <t>스텝드라이버 (고전류)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22" customWidth="1" min="5" max="5"/>
    <col width="8" customWidth="1" min="6" max="6"/>
  </cols>
  <sheetData>
    <row r="1" ht="22" customHeight="1">
      <c r="A1" s="14" t="inlineStr">
        <is>
          <t>차단기 규격 참조표 (MCCB / MCB 3P, AC 200V)</t>
        </is>
      </c>
    </row>
    <row r="2" ht="5" customHeight="1"/>
    <row r="3" ht="22" customHeight="1">
      <c r="A3" s="4" t="inlineStr">
        <is>
          <t>정격전류(A)</t>
        </is>
      </c>
      <c r="B3" s="4" t="inlineStr">
        <is>
          <t>적용 부하전류 범위</t>
        </is>
      </c>
      <c r="C3" s="4" t="inlineStr">
        <is>
          <t>제조사</t>
        </is>
      </c>
      <c r="D3" s="4" t="inlineStr">
        <is>
          <t>모델 (3P)</t>
        </is>
      </c>
      <c r="E3" s="4" t="inlineStr">
        <is>
          <t>비고</t>
        </is>
      </c>
      <c r="F3" s="4" t="inlineStr"/>
    </row>
    <row r="4" ht="16" customHeight="1">
      <c r="A4" s="17" t="n">
        <v>5</v>
      </c>
      <c r="B4" s="8" t="inlineStr">
        <is>
          <t>~4A</t>
        </is>
      </c>
      <c r="C4" s="8" t="inlineStr">
        <is>
          <t>LS/Chint</t>
        </is>
      </c>
      <c r="D4" s="8" t="inlineStr">
        <is>
          <t>ABN5c / NXB-63</t>
        </is>
      </c>
      <c r="E4" s="8" t="inlineStr">
        <is>
          <t>소형 I/O, EziServo 2~3개</t>
        </is>
      </c>
    </row>
    <row r="5" ht="16" customHeight="1">
      <c r="A5" s="17" t="n">
        <v>10</v>
      </c>
      <c r="B5" s="8" t="inlineStr">
        <is>
          <t>4~8A</t>
        </is>
      </c>
      <c r="C5" s="8" t="inlineStr">
        <is>
          <t>LS/Chint</t>
        </is>
      </c>
      <c r="D5" s="8" t="inlineStr">
        <is>
          <t>ABN10c / NXB-63</t>
        </is>
      </c>
      <c r="E5" s="8" t="inlineStr">
        <is>
          <t>소형 서보 판넬 (100W×5축 이하)</t>
        </is>
      </c>
    </row>
    <row r="6" ht="16" customHeight="1">
      <c r="A6" s="17" t="n">
        <v>15</v>
      </c>
      <c r="B6" s="8" t="inlineStr">
        <is>
          <t>8~12A</t>
        </is>
      </c>
      <c r="C6" s="8" t="inlineStr">
        <is>
          <t>LS/Chint</t>
        </is>
      </c>
      <c r="D6" s="8" t="inlineStr">
        <is>
          <t>ABN15c / NXB-63</t>
        </is>
      </c>
      <c r="E6" s="8" t="inlineStr"/>
    </row>
    <row r="7" ht="16" customHeight="1">
      <c r="A7" s="17" t="n">
        <v>20</v>
      </c>
      <c r="B7" s="8" t="inlineStr">
        <is>
          <t>12~16A</t>
        </is>
      </c>
      <c r="C7" s="8" t="inlineStr">
        <is>
          <t>LS/Chint</t>
        </is>
      </c>
      <c r="D7" s="8" t="inlineStr">
        <is>
          <t>ABN20c / NXB-63</t>
        </is>
      </c>
      <c r="E7" s="8" t="inlineStr">
        <is>
          <t>중형 서보 판넬</t>
        </is>
      </c>
    </row>
    <row r="8" ht="16" customHeight="1">
      <c r="A8" s="17" t="n">
        <v>25</v>
      </c>
      <c r="B8" s="8" t="inlineStr">
        <is>
          <t>16~20A</t>
        </is>
      </c>
      <c r="C8" s="8" t="inlineStr">
        <is>
          <t>LS/Chint</t>
        </is>
      </c>
      <c r="D8" s="8" t="inlineStr">
        <is>
          <t>ABN25c / NXB-63</t>
        </is>
      </c>
      <c r="E8" s="8" t="inlineStr"/>
    </row>
    <row r="9" ht="16" customHeight="1">
      <c r="A9" s="17" t="n">
        <v>30</v>
      </c>
      <c r="B9" s="8" t="inlineStr">
        <is>
          <t>20~24A</t>
        </is>
      </c>
      <c r="C9" s="8" t="inlineStr">
        <is>
          <t>LS/Chint</t>
        </is>
      </c>
      <c r="D9" s="8" t="inlineStr">
        <is>
          <t>ABN30c / NXB-63</t>
        </is>
      </c>
      <c r="E9" s="8" t="inlineStr">
        <is>
          <t>다축 서보 판넬</t>
        </is>
      </c>
    </row>
    <row r="10" ht="16" customHeight="1">
      <c r="A10" s="17" t="n">
        <v>40</v>
      </c>
      <c r="B10" s="8" t="inlineStr">
        <is>
          <t>24~32A</t>
        </is>
      </c>
      <c r="C10" s="8" t="inlineStr">
        <is>
          <t>LS/Chint</t>
        </is>
      </c>
      <c r="D10" s="8" t="inlineStr">
        <is>
          <t>ABN40c</t>
        </is>
      </c>
      <c r="E10" s="8" t="inlineStr"/>
    </row>
    <row r="11" ht="16" customHeight="1">
      <c r="A11" s="17" t="n">
        <v>50</v>
      </c>
      <c r="B11" s="8" t="inlineStr">
        <is>
          <t>32~40A</t>
        </is>
      </c>
      <c r="C11" s="8" t="inlineStr">
        <is>
          <t>LS/Chint</t>
        </is>
      </c>
      <c r="D11" s="8" t="inlineStr">
        <is>
          <t>ABN50c</t>
        </is>
      </c>
      <c r="E11" s="8" t="inlineStr">
        <is>
          <t>대형 판넬 (800W 3축+)</t>
        </is>
      </c>
    </row>
    <row r="12" ht="16" customHeight="1">
      <c r="A12" s="17" t="n">
        <v>63</v>
      </c>
      <c r="B12" s="8" t="inlineStr">
        <is>
          <t>40~50A</t>
        </is>
      </c>
      <c r="C12" s="8" t="inlineStr">
        <is>
          <t>LS/Chint</t>
        </is>
      </c>
      <c r="D12" s="8" t="inlineStr">
        <is>
          <t>ABN63c</t>
        </is>
      </c>
      <c r="E12" s="8" t="inlineStr"/>
    </row>
    <row r="13" ht="16" customHeight="1">
      <c r="A13" s="17" t="n">
        <v>75</v>
      </c>
      <c r="B13" s="8" t="inlineStr">
        <is>
          <t>50~60A</t>
        </is>
      </c>
      <c r="C13" s="8" t="inlineStr">
        <is>
          <t>LS/Chint</t>
        </is>
      </c>
      <c r="D13" s="8" t="inlineStr">
        <is>
          <t>ABN75c</t>
        </is>
      </c>
      <c r="E13" s="8" t="inlineStr">
        <is>
          <t>메인 차단기 (복합 판넬)</t>
        </is>
      </c>
    </row>
    <row r="14" ht="16" customHeight="1">
      <c r="A14" s="17" t="n">
        <v>100</v>
      </c>
      <c r="B14" s="8" t="inlineStr">
        <is>
          <t>60~80A</t>
        </is>
      </c>
      <c r="C14" s="8" t="inlineStr">
        <is>
          <t>LS/Chint</t>
        </is>
      </c>
      <c r="D14" s="8" t="inlineStr">
        <is>
          <t>ABN100c</t>
        </is>
      </c>
      <c r="E14" s="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2026-04-03T06:48:34Z</dcterms:created>
  <dcterms:modified xmlns:dcterms="http://purl.org/dc/terms/" xmlns:xsi="http://www.w3.org/2001/XMLSchema-instance" xsi:type="dcterms:W3CDTF">2026-04-03T06:48:34Z</dcterms:modified>
</cp:coreProperties>
</file>