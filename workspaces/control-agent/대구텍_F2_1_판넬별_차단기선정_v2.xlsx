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전류·용량 계산표" sheetId="1" state="visible" r:id="rId1"/>
    <sheet xmlns:r="http://schemas.openxmlformats.org/officeDocument/2006/relationships" name="파나소닉A6규격" sheetId="2" state="visible" r:id="rId2"/>
    <sheet xmlns:r="http://schemas.openxmlformats.org/officeDocument/2006/relationships" name="파스텍EziServo규격" sheetId="3" state="visible" r:id="rId3"/>
    <sheet xmlns:r="http://schemas.openxmlformats.org/officeDocument/2006/relationships" name="차단기규격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3">
    <font>
      <name val="Calibri"/>
      <family val="2"/>
      <color theme="1"/>
      <sz val="11"/>
      <scheme val="minor"/>
    </font>
    <font>
      <name val="맑은 고딕"/>
      <b val="1"/>
      <color rgb="001F3864"/>
      <sz val="10"/>
    </font>
    <font>
      <name val="맑은 고딕"/>
      <b val="1"/>
      <color rgb="00FFFFFF"/>
      <sz val="9"/>
    </font>
    <font>
      <name val="맑은 고딕"/>
      <color rgb="00000000"/>
      <sz val="9"/>
    </font>
    <font>
      <name val="맑은 고딕"/>
      <b val="1"/>
      <color rgb="001F3864"/>
      <sz val="14"/>
    </font>
    <font>
      <name val="맑은 고딕"/>
      <b val="1"/>
      <color rgb="00FFFFFF"/>
      <sz val="10"/>
    </font>
    <font>
      <name val="맑은 고딕"/>
      <b val="1"/>
      <color rgb="00000000"/>
      <sz val="9"/>
    </font>
    <font>
      <name val="맑은 고딕"/>
      <color rgb="00888888"/>
      <sz val="9"/>
    </font>
    <font>
      <name val="맑은 고딕"/>
      <b val="1"/>
      <color rgb="001F3864"/>
      <sz val="9"/>
    </font>
    <font>
      <name val="맑은 고딕"/>
      <color rgb="00555555"/>
      <sz val="9"/>
    </font>
    <font>
      <name val="맑은 고딕"/>
      <color rgb="001F497D"/>
      <sz val="9"/>
    </font>
    <font>
      <name val="맑은 고딕"/>
      <b val="1"/>
      <color rgb="00C00000"/>
      <sz val="9"/>
    </font>
    <font>
      <name val="맑은 고딕"/>
      <color rgb="00555555"/>
      <sz val="8"/>
    </font>
  </fonts>
  <fills count="22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D6E4F0"/>
      </patternFill>
    </fill>
    <fill>
      <patternFill patternType="solid">
        <fgColor rgb="00FFFF99"/>
      </patternFill>
    </fill>
    <fill>
      <patternFill patternType="solid">
        <fgColor rgb="00FCE4D6"/>
      </patternFill>
    </fill>
    <fill>
      <patternFill patternType="solid">
        <fgColor rgb="00E2EFDA"/>
      </patternFill>
    </fill>
    <fill>
      <patternFill patternType="solid">
        <fgColor rgb="00D9E2F3"/>
      </patternFill>
    </fill>
    <fill>
      <patternFill patternType="solid">
        <fgColor rgb="001F3864"/>
      </patternFill>
    </fill>
    <fill>
      <patternFill patternType="solid">
        <fgColor rgb="004472C4"/>
      </patternFill>
    </fill>
    <fill>
      <patternFill patternType="solid">
        <fgColor rgb="00EBF3FB"/>
      </patternFill>
    </fill>
    <fill>
      <patternFill patternType="solid">
        <fgColor rgb="00FEF4E8"/>
      </patternFill>
    </fill>
    <fill>
      <patternFill patternType="solid">
        <fgColor rgb="00EDF7E3"/>
      </patternFill>
    </fill>
    <fill>
      <patternFill patternType="solid">
        <fgColor rgb="00F3EBF9"/>
      </patternFill>
    </fill>
    <fill>
      <patternFill patternType="solid">
        <fgColor rgb="00833C00"/>
      </patternFill>
    </fill>
    <fill>
      <patternFill patternType="solid">
        <fgColor rgb="00C55A11"/>
      </patternFill>
    </fill>
    <fill>
      <patternFill patternType="solid">
        <fgColor rgb="0000B0F0"/>
      </patternFill>
    </fill>
    <fill>
      <patternFill patternType="solid">
        <fgColor rgb="00ED7D31"/>
      </patternFill>
    </fill>
    <fill>
      <patternFill patternType="solid">
        <fgColor rgb="0070AD47"/>
      </patternFill>
    </fill>
    <fill>
      <patternFill patternType="solid">
        <fgColor rgb="007030A0"/>
      </patternFill>
    </fill>
    <fill>
      <patternFill patternType="solid">
        <fgColor rgb="00595959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51">
    <xf numFmtId="0" fontId="0" fillId="0" borderId="0" pivotButton="0" quotePrefix="0" xfId="0"/>
    <xf numFmtId="0" fontId="4" fillId="7" borderId="0" applyAlignment="1" pivotButton="0" quotePrefix="0" xfId="0">
      <alignment horizontal="center" vertical="center" wrapText="1"/>
    </xf>
    <xf numFmtId="0" fontId="5" fillId="8" borderId="0" applyAlignment="1" pivotButton="0" quotePrefix="0" xfId="0">
      <alignment horizontal="center" vertical="center" wrapText="1"/>
    </xf>
    <xf numFmtId="0" fontId="2" fillId="9" borderId="1" applyAlignment="1" pivotButton="0" quotePrefix="0" xfId="0">
      <alignment horizontal="center" vertical="center" wrapText="1"/>
    </xf>
    <xf numFmtId="0" fontId="6" fillId="10" borderId="1" applyAlignment="1" pivotButton="0" quotePrefix="0" xfId="0">
      <alignment horizontal="left" vertical="center" wrapText="1"/>
    </xf>
    <xf numFmtId="0" fontId="7" fillId="10" borderId="1" applyAlignment="1" pivotButton="0" quotePrefix="0" xfId="0">
      <alignment horizontal="center" vertical="center" wrapText="1"/>
    </xf>
    <xf numFmtId="0" fontId="6" fillId="11" borderId="1" applyAlignment="1" pivotButton="0" quotePrefix="0" xfId="0">
      <alignment horizontal="left" vertical="center" wrapText="1"/>
    </xf>
    <xf numFmtId="0" fontId="7" fillId="11" borderId="1" applyAlignment="1" pivotButton="0" quotePrefix="0" xfId="0">
      <alignment horizontal="center" vertical="center" wrapText="1"/>
    </xf>
    <xf numFmtId="0" fontId="6" fillId="12" borderId="1" applyAlignment="1" pivotButton="0" quotePrefix="0" xfId="0">
      <alignment horizontal="left" vertical="center" wrapText="1"/>
    </xf>
    <xf numFmtId="0" fontId="7" fillId="12" borderId="1" applyAlignment="1" pivotButton="0" quotePrefix="0" xfId="0">
      <alignment horizontal="center" vertical="center" wrapText="1"/>
    </xf>
    <xf numFmtId="0" fontId="6" fillId="13" borderId="1" applyAlignment="1" pivotButton="0" quotePrefix="0" xfId="0">
      <alignment horizontal="left" vertical="center" wrapText="1"/>
    </xf>
    <xf numFmtId="0" fontId="7" fillId="13" borderId="1" applyAlignment="1" pivotButton="0" quotePrefix="0" xfId="0">
      <alignment horizontal="center" vertical="center" wrapText="1"/>
    </xf>
    <xf numFmtId="0" fontId="5" fillId="14" borderId="0" applyAlignment="1" pivotButton="0" quotePrefix="0" xfId="0">
      <alignment horizontal="center" vertical="center" wrapText="1"/>
    </xf>
    <xf numFmtId="0" fontId="2" fillId="15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2" fillId="16" borderId="1" applyAlignment="1" pivotButton="0" quotePrefix="0" xfId="0">
      <alignment horizontal="left" vertical="center" wrapText="1"/>
    </xf>
    <xf numFmtId="0" fontId="8" fillId="10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left" vertical="center" wrapText="1"/>
    </xf>
    <xf numFmtId="0" fontId="9" fillId="10" borderId="1" applyAlignment="1" pivotButton="0" quotePrefix="0" xfId="0">
      <alignment horizontal="center" vertical="center" wrapText="1"/>
    </xf>
    <xf numFmtId="0" fontId="10" fillId="4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left" vertical="center" wrapText="1"/>
    </xf>
    <xf numFmtId="0" fontId="0" fillId="6" borderId="1" pivotButton="0" quotePrefix="0" xfId="0"/>
    <xf numFmtId="164" fontId="6" fillId="6" borderId="1" applyAlignment="1" pivotButton="0" quotePrefix="0" xfId="0">
      <alignment horizontal="center" vertical="center" wrapText="1"/>
    </xf>
    <xf numFmtId="0" fontId="11" fillId="6" borderId="1" applyAlignment="1" pivotButton="0" quotePrefix="0" xfId="0">
      <alignment horizontal="center" vertical="center" wrapText="1"/>
    </xf>
    <xf numFmtId="0" fontId="12" fillId="6" borderId="1" pivotButton="0" quotePrefix="0" xfId="0"/>
    <xf numFmtId="0" fontId="2" fillId="17" borderId="1" applyAlignment="1" pivotButton="0" quotePrefix="0" xfId="0">
      <alignment horizontal="left" vertical="center" wrapText="1"/>
    </xf>
    <xf numFmtId="0" fontId="3" fillId="11" borderId="1" applyAlignment="1" pivotButton="0" quotePrefix="0" xfId="0">
      <alignment horizontal="center" vertical="center" wrapText="1"/>
    </xf>
    <xf numFmtId="0" fontId="3" fillId="11" borderId="1" applyAlignment="1" pivotButton="0" quotePrefix="0" xfId="0">
      <alignment horizontal="left" vertical="center" wrapText="1"/>
    </xf>
    <xf numFmtId="0" fontId="9" fillId="11" borderId="1" applyAlignment="1" pivotButton="0" quotePrefix="0" xfId="0">
      <alignment horizontal="center" vertical="center" wrapText="1"/>
    </xf>
    <xf numFmtId="0" fontId="2" fillId="18" borderId="1" applyAlignment="1" pivotButton="0" quotePrefix="0" xfId="0">
      <alignment horizontal="left" vertical="center" wrapText="1"/>
    </xf>
    <xf numFmtId="0" fontId="8" fillId="12" borderId="1" applyAlignment="1" pivotButton="0" quotePrefix="0" xfId="0">
      <alignment horizontal="center" vertical="center" wrapText="1"/>
    </xf>
    <xf numFmtId="0" fontId="3" fillId="12" borderId="1" applyAlignment="1" pivotButton="0" quotePrefix="0" xfId="0">
      <alignment horizontal="left" vertical="center" wrapText="1"/>
    </xf>
    <xf numFmtId="0" fontId="9" fillId="12" borderId="1" applyAlignment="1" pivotButton="0" quotePrefix="0" xfId="0">
      <alignment horizontal="center" vertical="center" wrapText="1"/>
    </xf>
    <xf numFmtId="0" fontId="3" fillId="12" borderId="1" applyAlignment="1" pivotButton="0" quotePrefix="0" xfId="0">
      <alignment horizontal="center" vertical="center" wrapText="1"/>
    </xf>
    <xf numFmtId="0" fontId="2" fillId="19" borderId="1" applyAlignment="1" pivotButton="0" quotePrefix="0" xfId="0">
      <alignment horizontal="left" vertical="center" wrapText="1"/>
    </xf>
    <xf numFmtId="0" fontId="8" fillId="13" borderId="1" applyAlignment="1" pivotButton="0" quotePrefix="0" xfId="0">
      <alignment horizontal="center" vertical="center" wrapText="1"/>
    </xf>
    <xf numFmtId="0" fontId="3" fillId="13" borderId="1" applyAlignment="1" pivotButton="0" quotePrefix="0" xfId="0">
      <alignment horizontal="left" vertical="center" wrapText="1"/>
    </xf>
    <xf numFmtId="0" fontId="9" fillId="13" borderId="1" applyAlignment="1" pivotButton="0" quotePrefix="0" xfId="0">
      <alignment horizontal="center" vertical="center" wrapText="1"/>
    </xf>
    <xf numFmtId="0" fontId="3" fillId="13" borderId="1" applyAlignment="1" pivotButton="0" quotePrefix="0" xfId="0">
      <alignment horizontal="center" vertical="center" wrapText="1"/>
    </xf>
    <xf numFmtId="0" fontId="2" fillId="20" borderId="1" applyAlignment="1" pivotButton="0" quotePrefix="0" xfId="0">
      <alignment horizontal="left" vertical="center" wrapText="1"/>
    </xf>
    <xf numFmtId="0" fontId="3" fillId="21" borderId="0" applyAlignment="1" pivotButton="0" quotePrefix="0" xfId="0">
      <alignment horizontal="left" vertical="center" wrapText="1"/>
    </xf>
    <xf numFmtId="0" fontId="1" fillId="0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2"/>
  <sheetViews>
    <sheetView workbookViewId="0">
      <selection activeCell="A1" sqref="A1"/>
    </sheetView>
  </sheetViews>
  <sheetFormatPr baseColWidth="8" defaultRowHeight="15"/>
  <cols>
    <col width="8" customWidth="1" min="1" max="1"/>
    <col width="16" customWidth="1" min="2" max="2"/>
    <col width="20" customWidth="1" min="3" max="3"/>
    <col width="8" customWidth="1" min="4" max="4"/>
    <col width="10" customWidth="1" min="5" max="5"/>
    <col width="5" customWidth="1" min="6" max="6"/>
    <col width="6" customWidth="1" min="7" max="7"/>
    <col width="6" customWidth="1" min="8" max="8"/>
    <col width="6" customWidth="1" min="9" max="9"/>
    <col width="10" customWidth="1" min="10" max="10"/>
    <col width="7" customWidth="1" min="11" max="11"/>
    <col width="7" customWidth="1" min="12" max="12"/>
    <col width="7" customWidth="1" min="13" max="13"/>
    <col width="7" customWidth="1" min="14" max="14"/>
    <col width="10" customWidth="1" min="15" max="15"/>
    <col width="16" customWidth="1" min="16" max="16"/>
    <col width="30" customWidth="1" min="17" max="17"/>
  </cols>
  <sheetData>
    <row r="1" ht="28" customHeight="1">
      <c r="A1" s="1" t="inlineStr">
        <is>
          <t>대구텍 검사기 F2 #1 — 판넬별 전류용량 계산 및 차단기 선정표</t>
        </is>
      </c>
    </row>
    <row r="2" ht="18" customHeight="1">
      <c r="A2" s="2" t="inlineStr">
        <is>
          <t>▶ 전체 부하 요약 (상단 자동계산 — 하단 합계행 수식 연동)</t>
        </is>
      </c>
    </row>
    <row r="3" ht="18" customHeight="1">
      <c r="A3" s="3" t="inlineStr">
        <is>
          <t>구분</t>
        </is>
      </c>
      <c r="B3" s="3" t="inlineStr">
        <is>
          <t>총 정격전류(A)</t>
        </is>
      </c>
      <c r="C3" s="3" t="inlineStr">
        <is>
          <t>안전계수×1.25</t>
        </is>
      </c>
      <c r="D3" s="3" t="inlineStr">
        <is>
          <t>권장 차단기(A)</t>
        </is>
      </c>
      <c r="E3" s="3" t="inlineStr">
        <is>
          <t>비고</t>
        </is>
      </c>
    </row>
    <row r="4" ht="16" customHeight="1">
      <c r="A4" s="4" t="inlineStr">
        <is>
          <t>AC 서보드라이버 (파나소닉 A6)</t>
        </is>
      </c>
      <c r="B4" s="5" t="inlineStr">
        <is>
          <t>(자동)</t>
        </is>
      </c>
      <c r="C4" s="5" t="inlineStr">
        <is>
          <t>(자동)</t>
        </is>
      </c>
      <c r="D4" s="5" t="inlineStr">
        <is>
          <t>(자동)</t>
        </is>
      </c>
      <c r="E4" s="5" t="inlineStr">
        <is>
          <t>(자동)</t>
        </is>
      </c>
    </row>
    <row r="5" ht="16" customHeight="1">
      <c r="A5" s="6" t="inlineStr">
        <is>
          <t>DC24V EziServo/EziSpeed</t>
        </is>
      </c>
      <c r="B5" s="7" t="inlineStr">
        <is>
          <t>(자동)</t>
        </is>
      </c>
      <c r="C5" s="7" t="inlineStr">
        <is>
          <t>(자동)</t>
        </is>
      </c>
      <c r="D5" s="7" t="inlineStr">
        <is>
          <t>(자동)</t>
        </is>
      </c>
      <c r="E5" s="7" t="inlineStr">
        <is>
          <t>(자동)</t>
        </is>
      </c>
    </row>
    <row r="6" ht="16" customHeight="1">
      <c r="A6" s="8" t="inlineStr">
        <is>
          <t>DC 24V 공통 부하 (I/O·센서 등)</t>
        </is>
      </c>
      <c r="B6" s="9" t="inlineStr">
        <is>
          <t>(자동)</t>
        </is>
      </c>
      <c r="C6" s="9" t="inlineStr">
        <is>
          <t>(자동)</t>
        </is>
      </c>
      <c r="D6" s="9" t="inlineStr">
        <is>
          <t>(자동)</t>
        </is>
      </c>
      <c r="E6" s="9" t="inlineStr">
        <is>
          <t>(자동)</t>
        </is>
      </c>
    </row>
    <row r="7" ht="16" customHeight="1">
      <c r="A7" s="10" t="inlineStr">
        <is>
          <t>기타 (HMI·조명·PC 등)</t>
        </is>
      </c>
      <c r="B7" s="11" t="inlineStr">
        <is>
          <t>(자동)</t>
        </is>
      </c>
      <c r="C7" s="11" t="inlineStr">
        <is>
          <t>(자동)</t>
        </is>
      </c>
      <c r="D7" s="11" t="inlineStr">
        <is>
          <t>(자동)</t>
        </is>
      </c>
      <c r="E7" s="11" t="inlineStr">
        <is>
          <t>(자동)</t>
        </is>
      </c>
    </row>
    <row r="8" ht="6" customHeight="1"/>
    <row r="9" ht="18" customHeight="1">
      <c r="A9" s="12" t="inlineStr">
        <is>
          <t>▶ R/S/T 상별 전류 편중 분석 (AC 서보드라이버 기준)</t>
        </is>
      </c>
    </row>
    <row r="10" ht="18" customHeight="1">
      <c r="A10" s="13" t="inlineStr"/>
      <c r="B10" s="13" t="inlineStr">
        <is>
          <t>R상(A)</t>
        </is>
      </c>
      <c r="C10" s="13" t="inlineStr">
        <is>
          <t>S상(A)</t>
        </is>
      </c>
      <c r="D10" s="13" t="inlineStr">
        <is>
          <t>T상(A)</t>
        </is>
      </c>
      <c r="E10" s="13" t="inlineStr">
        <is>
          <t>최대-최소(A)</t>
        </is>
      </c>
      <c r="F10" s="13" t="inlineStr">
        <is>
          <t>불균형률(%)</t>
        </is>
      </c>
      <c r="G10" s="13" t="inlineStr">
        <is>
          <t>판정</t>
        </is>
      </c>
      <c r="H10" s="13" t="inlineStr">
        <is>
          <t>기준: 불균형률 10% 이하 권장</t>
        </is>
      </c>
    </row>
    <row r="11" ht="15" customHeight="1">
      <c r="A11" s="14" t="inlineStr">
        <is>
          <t>AC 서보드라이버 합계</t>
        </is>
      </c>
      <c r="B11" s="15" t="inlineStr"/>
      <c r="C11" s="15" t="inlineStr"/>
      <c r="D11" s="15" t="inlineStr"/>
      <c r="E11" s="15" t="inlineStr"/>
      <c r="F11" s="15" t="inlineStr"/>
      <c r="G11" s="15" t="inlineStr"/>
      <c r="H11" s="15" t="inlineStr"/>
    </row>
    <row r="12" ht="15" customHeight="1">
      <c r="A12" s="14" t="inlineStr">
        <is>
          <t>판넬1</t>
        </is>
      </c>
      <c r="B12" s="15" t="inlineStr"/>
      <c r="C12" s="15" t="inlineStr"/>
      <c r="D12" s="15" t="inlineStr"/>
      <c r="E12" s="15" t="inlineStr"/>
      <c r="F12" s="15" t="inlineStr"/>
      <c r="G12" s="15" t="inlineStr"/>
      <c r="H12" s="15" t="inlineStr"/>
    </row>
    <row r="13" ht="15" customHeight="1">
      <c r="A13" s="14" t="inlineStr">
        <is>
          <t>판넬2</t>
        </is>
      </c>
      <c r="B13" s="15" t="inlineStr"/>
      <c r="C13" s="15" t="inlineStr"/>
      <c r="D13" s="15" t="inlineStr"/>
      <c r="E13" s="15" t="inlineStr"/>
      <c r="F13" s="15" t="inlineStr"/>
      <c r="G13" s="15" t="inlineStr"/>
      <c r="H13" s="15" t="inlineStr"/>
    </row>
    <row r="14" ht="15" customHeight="1">
      <c r="A14" s="14" t="inlineStr">
        <is>
          <t>판넬3</t>
        </is>
      </c>
      <c r="B14" s="15" t="inlineStr"/>
      <c r="C14" s="15" t="inlineStr"/>
      <c r="D14" s="15" t="inlineStr"/>
      <c r="E14" s="15" t="inlineStr"/>
      <c r="F14" s="15" t="inlineStr"/>
      <c r="G14" s="15" t="inlineStr"/>
      <c r="H14" s="15" t="inlineStr"/>
    </row>
    <row r="15" ht="15" customHeight="1">
      <c r="A15" s="14" t="inlineStr">
        <is>
          <t>판넬4</t>
        </is>
      </c>
      <c r="B15" s="15" t="inlineStr"/>
      <c r="C15" s="15" t="inlineStr"/>
      <c r="D15" s="15" t="inlineStr"/>
      <c r="E15" s="15" t="inlineStr"/>
      <c r="F15" s="15" t="inlineStr"/>
      <c r="G15" s="15" t="inlineStr"/>
      <c r="H15" s="15" t="inlineStr"/>
    </row>
    <row r="16" ht="6" customHeight="1"/>
    <row r="17" ht="20" customHeight="1">
      <c r="A17" s="16" t="inlineStr">
        <is>
          <t>판넬</t>
        </is>
      </c>
      <c r="B17" s="16" t="inlineStr">
        <is>
          <t>Axis Name</t>
        </is>
      </c>
      <c r="C17" s="16" t="inlineStr">
        <is>
          <t>드라이버 모델
(직접 입력)</t>
        </is>
      </c>
      <c r="D17" s="16" t="inlineStr">
        <is>
          <t>출력(W)
[자동]</t>
        </is>
      </c>
      <c r="E17" s="16" t="inlineStr">
        <is>
          <t>정격전류(A)
[자동]</t>
        </is>
      </c>
      <c r="F17" s="16" t="inlineStr">
        <is>
          <t>상수</t>
        </is>
      </c>
      <c r="G17" s="16" t="inlineStr">
        <is>
          <t>R상</t>
        </is>
      </c>
      <c r="H17" s="16" t="inlineStr">
        <is>
          <t>S상</t>
        </is>
      </c>
      <c r="I17" s="16" t="inlineStr">
        <is>
          <t>T상</t>
        </is>
      </c>
      <c r="J17" s="16" t="inlineStr">
        <is>
          <t>운전전류(A)</t>
        </is>
      </c>
      <c r="K17" s="3" t="inlineStr">
        <is>
          <t>전원 구분</t>
        </is>
      </c>
      <c r="O17" s="16" t="inlineStr">
        <is>
          <t>차단기
선정(A)</t>
        </is>
      </c>
      <c r="P17" s="16" t="inlineStr">
        <is>
          <t>제조사/모델</t>
        </is>
      </c>
      <c r="Q17" s="16" t="inlineStr">
        <is>
          <t>비고/수식설명</t>
        </is>
      </c>
    </row>
    <row r="18" ht="26" customHeight="1">
      <c r="K18" s="3" t="inlineStr">
        <is>
          <t>AC 서보
(파나소닉)</t>
        </is>
      </c>
      <c r="L18" s="3" t="inlineStr">
        <is>
          <t>DC 24V
(EziServo)</t>
        </is>
      </c>
      <c r="M18" s="3" t="inlineStr">
        <is>
          <t>DC 24V
(공통)</t>
        </is>
      </c>
      <c r="N18" s="3" t="inlineStr">
        <is>
          <t>기타</t>
        </is>
      </c>
    </row>
    <row r="19" ht="16" customHeight="1">
      <c r="A19" s="17" t="inlineStr">
        <is>
          <t>■ 판넬1 — 파나소닉 A6 서보드라이버 (AC200V)</t>
        </is>
      </c>
    </row>
    <row r="20" ht="17" customHeight="1">
      <c r="A20" s="18" t="inlineStr">
        <is>
          <t>판넬1</t>
        </is>
      </c>
      <c r="B20" s="19" t="inlineStr">
        <is>
          <t>LO_Y1</t>
        </is>
      </c>
      <c r="C20" s="19" t="inlineStr">
        <is>
          <t>MDDLN55BL</t>
        </is>
      </c>
      <c r="D20" s="20">
        <f>IFERROR(VLOOKUP(C20,파나소닉A6규격!$A:$C,2,FALSE),IFERROR(VLOOKUP(C20,파스텍EziServo규격!$A:$C,1,FALSE),""))</f>
        <v/>
      </c>
      <c r="E20" s="21">
        <f>IFERROR(VLOOKUP(C20,파나소닉A6규격!$A:$C,3,FALSE),IFERROR(VLOOKUP(C20,파스텍EziServo규격!$A:$C,3,FALSE),""))</f>
        <v/>
      </c>
      <c r="F20" s="22" t="n">
        <v>3</v>
      </c>
      <c r="G20" s="22" t="n">
        <v>1</v>
      </c>
      <c r="H20" s="22" t="n">
        <v>1</v>
      </c>
      <c r="I20" s="22" t="n">
        <v>1</v>
      </c>
      <c r="J20" s="22">
        <f>IFERROR(E20*0.9,"")</f>
        <v/>
      </c>
      <c r="K20" s="22" t="inlineStr">
        <is>
          <t>●</t>
        </is>
      </c>
      <c r="L20" s="22" t="inlineStr"/>
      <c r="M20" s="22" t="inlineStr"/>
      <c r="N20" s="22" t="inlineStr"/>
      <c r="O20" s="22" t="inlineStr"/>
      <c r="P20" s="22" t="inlineStr"/>
      <c r="Q20" s="19" t="inlineStr">
        <is>
          <t>Linear Motor Driver (AC200V)</t>
        </is>
      </c>
    </row>
    <row r="21" ht="17" customHeight="1">
      <c r="A21" s="22" t="inlineStr"/>
      <c r="B21" s="19" t="inlineStr">
        <is>
          <t>LO_X1</t>
        </is>
      </c>
      <c r="C21" s="19" t="inlineStr">
        <is>
          <t>MCDLN35BL</t>
        </is>
      </c>
      <c r="D21" s="20">
        <f>IFERROR(VLOOKUP(C21,파나소닉A6규격!$A:$C,2,FALSE),IFERROR(VLOOKUP(C21,파스텍EziServo규격!$A:$C,1,FALSE),""))</f>
        <v/>
      </c>
      <c r="E21" s="21">
        <f>IFERROR(VLOOKUP(C21,파나소닉A6규격!$A:$C,3,FALSE),IFERROR(VLOOKUP(C21,파스텍EziServo규격!$A:$C,3,FALSE),""))</f>
        <v/>
      </c>
      <c r="F21" s="22" t="n">
        <v>3</v>
      </c>
      <c r="G21" s="22" t="n">
        <v>0</v>
      </c>
      <c r="H21" s="22" t="n">
        <v>1</v>
      </c>
      <c r="I21" s="22" t="n">
        <v>1</v>
      </c>
      <c r="J21" s="22">
        <f>IFERROR(E21*0.9,"")</f>
        <v/>
      </c>
      <c r="K21" s="22" t="inlineStr">
        <is>
          <t>●</t>
        </is>
      </c>
      <c r="L21" s="22" t="inlineStr"/>
      <c r="M21" s="22" t="inlineStr"/>
      <c r="N21" s="22" t="inlineStr"/>
      <c r="O21" s="22" t="inlineStr"/>
      <c r="P21" s="22" t="inlineStr"/>
      <c r="Q21" s="19" t="inlineStr">
        <is>
          <t>Linear Motor Driver (AC200V)</t>
        </is>
      </c>
    </row>
    <row r="22" ht="17" customHeight="1">
      <c r="A22" s="22" t="inlineStr"/>
      <c r="B22" s="19" t="inlineStr">
        <is>
          <t>LO_Z1</t>
        </is>
      </c>
      <c r="C22" s="19" t="inlineStr">
        <is>
          <t>MADLN05BE</t>
        </is>
      </c>
      <c r="D22" s="20">
        <f>IFERROR(VLOOKUP(C22,파나소닉A6규격!$A:$C,2,FALSE),IFERROR(VLOOKUP(C22,파스텍EziServo규격!$A:$C,1,FALSE),""))</f>
        <v/>
      </c>
      <c r="E22" s="21">
        <f>IFERROR(VLOOKUP(C22,파나소닉A6규격!$A:$C,3,FALSE),IFERROR(VLOOKUP(C22,파스텍EziServo규격!$A:$C,3,FALSE),""))</f>
        <v/>
      </c>
      <c r="F22" s="22" t="n">
        <v>1</v>
      </c>
      <c r="G22" s="22" t="n">
        <v>1</v>
      </c>
      <c r="H22" s="22" t="n">
        <v>0</v>
      </c>
      <c r="I22" s="22" t="n">
        <v>0</v>
      </c>
      <c r="J22" s="22">
        <f>IFERROR(E22*0.9,"")</f>
        <v/>
      </c>
      <c r="K22" s="22" t="inlineStr">
        <is>
          <t>●</t>
        </is>
      </c>
      <c r="L22" s="22" t="inlineStr"/>
      <c r="M22" s="22" t="inlineStr"/>
      <c r="N22" s="22" t="inlineStr"/>
      <c r="O22" s="22" t="inlineStr"/>
      <c r="P22" s="22" t="inlineStr"/>
      <c r="Q22" s="19" t="inlineStr">
        <is>
          <t>I=VA/(220×PF=0.85)</t>
        </is>
      </c>
    </row>
    <row r="23" ht="17" customHeight="1">
      <c r="A23" s="22" t="inlineStr"/>
      <c r="B23" s="19" t="inlineStr">
        <is>
          <t>ULO_Y1</t>
        </is>
      </c>
      <c r="C23" s="19" t="inlineStr">
        <is>
          <t>MCDLN35BL</t>
        </is>
      </c>
      <c r="D23" s="20">
        <f>IFERROR(VLOOKUP(C23,파나소닉A6규격!$A:$C,2,FALSE),IFERROR(VLOOKUP(C23,파스텍EziServo규격!$A:$C,1,FALSE),""))</f>
        <v/>
      </c>
      <c r="E23" s="21">
        <f>IFERROR(VLOOKUP(C23,파나소닉A6규격!$A:$C,3,FALSE),IFERROR(VLOOKUP(C23,파스텍EziServo규격!$A:$C,3,FALSE),""))</f>
        <v/>
      </c>
      <c r="F23" s="22" t="n">
        <v>3</v>
      </c>
      <c r="G23" s="22" t="n">
        <v>1</v>
      </c>
      <c r="H23" s="22" t="n">
        <v>1</v>
      </c>
      <c r="I23" s="22" t="n">
        <v>0</v>
      </c>
      <c r="J23" s="22">
        <f>IFERROR(E23*0.9,"")</f>
        <v/>
      </c>
      <c r="K23" s="22" t="inlineStr">
        <is>
          <t>●</t>
        </is>
      </c>
      <c r="L23" s="22" t="inlineStr"/>
      <c r="M23" s="22" t="inlineStr"/>
      <c r="N23" s="22" t="inlineStr"/>
      <c r="O23" s="22" t="inlineStr"/>
      <c r="P23" s="22" t="inlineStr"/>
      <c r="Q23" s="19" t="inlineStr">
        <is>
          <t>Linear Motor Driver</t>
        </is>
      </c>
    </row>
    <row r="24" ht="17" customHeight="1">
      <c r="A24" s="22" t="inlineStr"/>
      <c r="B24" s="19" t="inlineStr">
        <is>
          <t>ULO_X1</t>
        </is>
      </c>
      <c r="C24" s="19" t="inlineStr">
        <is>
          <t>MCDLN35BL</t>
        </is>
      </c>
      <c r="D24" s="20">
        <f>IFERROR(VLOOKUP(C24,파나소닉A6규격!$A:$C,2,FALSE),IFERROR(VLOOKUP(C24,파스텍EziServo규격!$A:$C,1,FALSE),""))</f>
        <v/>
      </c>
      <c r="E24" s="21">
        <f>IFERROR(VLOOKUP(C24,파나소닉A6규격!$A:$C,3,FALSE),IFERROR(VLOOKUP(C24,파스텍EziServo규격!$A:$C,3,FALSE),""))</f>
        <v/>
      </c>
      <c r="F24" s="22" t="n">
        <v>3</v>
      </c>
      <c r="G24" s="22" t="n">
        <v>0</v>
      </c>
      <c r="H24" s="22" t="n">
        <v>1</v>
      </c>
      <c r="I24" s="22" t="n">
        <v>1</v>
      </c>
      <c r="J24" s="22">
        <f>IFERROR(E24*0.9,"")</f>
        <v/>
      </c>
      <c r="K24" s="22" t="inlineStr">
        <is>
          <t>●</t>
        </is>
      </c>
      <c r="L24" s="22" t="inlineStr"/>
      <c r="M24" s="22" t="inlineStr"/>
      <c r="N24" s="22" t="inlineStr"/>
      <c r="O24" s="22" t="inlineStr"/>
      <c r="P24" s="22" t="inlineStr"/>
      <c r="Q24" s="19" t="inlineStr">
        <is>
          <t>Linear Motor Driver</t>
        </is>
      </c>
    </row>
    <row r="25" ht="17" customHeight="1">
      <c r="A25" s="22" t="inlineStr"/>
      <c r="B25" s="19" t="inlineStr">
        <is>
          <t>ULO_Z1</t>
        </is>
      </c>
      <c r="C25" s="19" t="inlineStr">
        <is>
          <t>MADLN05BE</t>
        </is>
      </c>
      <c r="D25" s="20">
        <f>IFERROR(VLOOKUP(C25,파나소닉A6규격!$A:$C,2,FALSE),IFERROR(VLOOKUP(C25,파스텍EziServo규격!$A:$C,1,FALSE),""))</f>
        <v/>
      </c>
      <c r="E25" s="21">
        <f>IFERROR(VLOOKUP(C25,파나소닉A6규격!$A:$C,3,FALSE),IFERROR(VLOOKUP(C25,파스텍EziServo규격!$A:$C,3,FALSE),""))</f>
        <v/>
      </c>
      <c r="F25" s="22" t="n">
        <v>1</v>
      </c>
      <c r="G25" s="22" t="n">
        <v>0</v>
      </c>
      <c r="H25" s="22" t="n">
        <v>0</v>
      </c>
      <c r="I25" s="22" t="n">
        <v>1</v>
      </c>
      <c r="J25" s="22">
        <f>IFERROR(E25*0.9,"")</f>
        <v/>
      </c>
      <c r="K25" s="22" t="inlineStr">
        <is>
          <t>●</t>
        </is>
      </c>
      <c r="L25" s="22" t="inlineStr"/>
      <c r="M25" s="22" t="inlineStr"/>
      <c r="N25" s="22" t="inlineStr"/>
      <c r="O25" s="22" t="inlineStr"/>
      <c r="P25" s="22" t="inlineStr"/>
      <c r="Q25" s="19" t="inlineStr"/>
    </row>
    <row r="26" ht="17" customHeight="1">
      <c r="A26" s="22" t="inlineStr"/>
      <c r="B26" s="19" t="inlineStr">
        <is>
          <t>NG_EV</t>
        </is>
      </c>
      <c r="C26" s="19" t="inlineStr">
        <is>
          <t>MCDLN35BE</t>
        </is>
      </c>
      <c r="D26" s="20">
        <f>IFERROR(VLOOKUP(C26,파나소닉A6규격!$A:$C,2,FALSE),IFERROR(VLOOKUP(C26,파스텍EziServo규격!$A:$C,1,FALSE),""))</f>
        <v/>
      </c>
      <c r="E26" s="21">
        <f>IFERROR(VLOOKUP(C26,파나소닉A6규격!$A:$C,3,FALSE),IFERROR(VLOOKUP(C26,파스텍EziServo규격!$A:$C,3,FALSE),""))</f>
        <v/>
      </c>
      <c r="F26" s="22" t="n">
        <v>1</v>
      </c>
      <c r="G26" s="22" t="n">
        <v>1</v>
      </c>
      <c r="H26" s="22" t="n">
        <v>0</v>
      </c>
      <c r="I26" s="22" t="n">
        <v>0</v>
      </c>
      <c r="J26" s="22">
        <f>IFERROR(E26*0.9,"")</f>
        <v/>
      </c>
      <c r="K26" s="22" t="inlineStr">
        <is>
          <t>●</t>
        </is>
      </c>
      <c r="L26" s="22" t="inlineStr"/>
      <c r="M26" s="22" t="inlineStr"/>
      <c r="N26" s="22" t="inlineStr"/>
      <c r="O26" s="22" t="inlineStr"/>
      <c r="P26" s="22" t="inlineStr"/>
      <c r="Q26" s="19" t="inlineStr">
        <is>
          <t>800W 서보 (단상)</t>
        </is>
      </c>
    </row>
    <row r="27" ht="17" customHeight="1">
      <c r="A27" s="22" t="inlineStr"/>
      <c r="B27" s="19" t="inlineStr">
        <is>
          <t>NG_FD</t>
        </is>
      </c>
      <c r="C27" s="19" t="inlineStr">
        <is>
          <t>MADLN05BE</t>
        </is>
      </c>
      <c r="D27" s="20">
        <f>IFERROR(VLOOKUP(C27,파나소닉A6규격!$A:$C,2,FALSE),IFERROR(VLOOKUP(C27,파스텍EziServo규격!$A:$C,1,FALSE),""))</f>
        <v/>
      </c>
      <c r="E27" s="21">
        <f>IFERROR(VLOOKUP(C27,파나소닉A6규격!$A:$C,3,FALSE),IFERROR(VLOOKUP(C27,파스텍EziServo규격!$A:$C,3,FALSE),""))</f>
        <v/>
      </c>
      <c r="F27" s="22" t="n">
        <v>1</v>
      </c>
      <c r="G27" s="22" t="n">
        <v>0</v>
      </c>
      <c r="H27" s="22" t="n">
        <v>1</v>
      </c>
      <c r="I27" s="22" t="n">
        <v>0</v>
      </c>
      <c r="J27" s="22">
        <f>IFERROR(E27*0.9,"")</f>
        <v/>
      </c>
      <c r="K27" s="22" t="inlineStr">
        <is>
          <t>●</t>
        </is>
      </c>
      <c r="L27" s="22" t="inlineStr"/>
      <c r="M27" s="22" t="inlineStr"/>
      <c r="N27" s="22" t="inlineStr"/>
      <c r="O27" s="22" t="inlineStr"/>
      <c r="P27" s="22" t="inlineStr"/>
      <c r="Q27" s="19" t="inlineStr"/>
    </row>
    <row r="28" ht="17" customHeight="1">
      <c r="A28" s="22" t="inlineStr"/>
      <c r="B28" s="19" t="inlineStr">
        <is>
          <t>NG_FD_Z</t>
        </is>
      </c>
      <c r="C28" s="19" t="inlineStr">
        <is>
          <t>MBDLN25BE</t>
        </is>
      </c>
      <c r="D28" s="20">
        <f>IFERROR(VLOOKUP(C28,파나소닉A6규격!$A:$C,2,FALSE),IFERROR(VLOOKUP(C28,파스텍EziServo규격!$A:$C,1,FALSE),""))</f>
        <v/>
      </c>
      <c r="E28" s="21">
        <f>IFERROR(VLOOKUP(C28,파나소닉A6규격!$A:$C,3,FALSE),IFERROR(VLOOKUP(C28,파스텍EziServo규격!$A:$C,3,FALSE),""))</f>
        <v/>
      </c>
      <c r="F28" s="22" t="n">
        <v>1</v>
      </c>
      <c r="G28" s="22" t="n">
        <v>1</v>
      </c>
      <c r="H28" s="22" t="n">
        <v>0</v>
      </c>
      <c r="I28" s="22" t="n">
        <v>0</v>
      </c>
      <c r="J28" s="22">
        <f>IFERROR(E28*0.9,"")</f>
        <v/>
      </c>
      <c r="K28" s="22" t="inlineStr">
        <is>
          <t>●</t>
        </is>
      </c>
      <c r="L28" s="22" t="inlineStr"/>
      <c r="M28" s="22" t="inlineStr"/>
      <c r="N28" s="22" t="inlineStr"/>
      <c r="O28" s="22" t="inlineStr"/>
      <c r="P28" s="22" t="inlineStr"/>
      <c r="Q28" s="19" t="inlineStr"/>
    </row>
    <row r="29" ht="17" customHeight="1">
      <c r="A29" s="22" t="inlineStr"/>
      <c r="B29" s="19" t="inlineStr">
        <is>
          <t>NG_FD_ALIGN</t>
        </is>
      </c>
      <c r="C29" s="19" t="inlineStr">
        <is>
          <t>MADLN05BE</t>
        </is>
      </c>
      <c r="D29" s="20">
        <f>IFERROR(VLOOKUP(C29,파나소닉A6규격!$A:$C,2,FALSE),IFERROR(VLOOKUP(C29,파스텍EziServo규격!$A:$C,1,FALSE),""))</f>
        <v/>
      </c>
      <c r="E29" s="21">
        <f>IFERROR(VLOOKUP(C29,파나소닉A6규격!$A:$C,3,FALSE),IFERROR(VLOOKUP(C29,파스텍EziServo규격!$A:$C,3,FALSE),""))</f>
        <v/>
      </c>
      <c r="F29" s="22" t="n">
        <v>1</v>
      </c>
      <c r="G29" s="22" t="n">
        <v>0</v>
      </c>
      <c r="H29" s="22" t="n">
        <v>0</v>
      </c>
      <c r="I29" s="22" t="n">
        <v>1</v>
      </c>
      <c r="J29" s="22">
        <f>IFERROR(E29*0.9,"")</f>
        <v/>
      </c>
      <c r="K29" s="22" t="inlineStr">
        <is>
          <t>●</t>
        </is>
      </c>
      <c r="L29" s="22" t="inlineStr"/>
      <c r="M29" s="22" t="inlineStr"/>
      <c r="N29" s="22" t="inlineStr"/>
      <c r="O29" s="22" t="inlineStr"/>
      <c r="P29" s="22" t="inlineStr"/>
      <c r="Q29" s="19" t="inlineStr"/>
    </row>
    <row r="30" ht="17" customHeight="1">
      <c r="A30" s="22" t="inlineStr"/>
      <c r="B30" s="19" t="inlineStr">
        <is>
          <t>NG_FD_INDEX</t>
        </is>
      </c>
      <c r="C30" s="19" t="inlineStr">
        <is>
          <t>MBDLN25BE</t>
        </is>
      </c>
      <c r="D30" s="20">
        <f>IFERROR(VLOOKUP(C30,파나소닉A6규격!$A:$C,2,FALSE),IFERROR(VLOOKUP(C30,파스텍EziServo규격!$A:$C,1,FALSE),""))</f>
        <v/>
      </c>
      <c r="E30" s="21">
        <f>IFERROR(VLOOKUP(C30,파나소닉A6규격!$A:$C,3,FALSE),IFERROR(VLOOKUP(C30,파스텍EziServo규격!$A:$C,3,FALSE),""))</f>
        <v/>
      </c>
      <c r="F30" s="22" t="n">
        <v>1</v>
      </c>
      <c r="G30" s="22" t="n">
        <v>1</v>
      </c>
      <c r="H30" s="22" t="n">
        <v>0</v>
      </c>
      <c r="I30" s="22" t="n">
        <v>0</v>
      </c>
      <c r="J30" s="22">
        <f>IFERROR(E30*0.9,"")</f>
        <v/>
      </c>
      <c r="K30" s="22" t="inlineStr">
        <is>
          <t>●</t>
        </is>
      </c>
      <c r="L30" s="22" t="inlineStr"/>
      <c r="M30" s="22" t="inlineStr"/>
      <c r="N30" s="22" t="inlineStr"/>
      <c r="O30" s="22" t="inlineStr"/>
      <c r="P30" s="22" t="inlineStr"/>
      <c r="Q30" s="19" t="inlineStr"/>
    </row>
    <row r="31" ht="17" customHeight="1">
      <c r="A31" s="22" t="inlineStr"/>
      <c r="B31" s="19" t="inlineStr">
        <is>
          <t>JIG_ULO_Y</t>
        </is>
      </c>
      <c r="C31" s="19" t="inlineStr">
        <is>
          <t>MADLN05BE</t>
        </is>
      </c>
      <c r="D31" s="20">
        <f>IFERROR(VLOOKUP(C31,파나소닉A6규격!$A:$C,2,FALSE),IFERROR(VLOOKUP(C31,파스텍EziServo규격!$A:$C,1,FALSE),""))</f>
        <v/>
      </c>
      <c r="E31" s="21">
        <f>IFERROR(VLOOKUP(C31,파나소닉A6규격!$A:$C,3,FALSE),IFERROR(VLOOKUP(C31,파스텍EziServo규격!$A:$C,3,FALSE),""))</f>
        <v/>
      </c>
      <c r="F31" s="22" t="n">
        <v>1</v>
      </c>
      <c r="G31" s="22" t="n">
        <v>0</v>
      </c>
      <c r="H31" s="22" t="n">
        <v>1</v>
      </c>
      <c r="I31" s="22" t="n">
        <v>0</v>
      </c>
      <c r="J31" s="22">
        <f>IFERROR(E31*0.9,"")</f>
        <v/>
      </c>
      <c r="K31" s="22" t="inlineStr">
        <is>
          <t>●</t>
        </is>
      </c>
      <c r="L31" s="22" t="inlineStr"/>
      <c r="M31" s="22" t="inlineStr"/>
      <c r="N31" s="22" t="inlineStr"/>
      <c r="O31" s="22" t="inlineStr"/>
      <c r="P31" s="22" t="inlineStr"/>
      <c r="Q31" s="19" t="inlineStr"/>
    </row>
    <row r="32" ht="17" customHeight="1">
      <c r="A32" s="22" t="inlineStr"/>
      <c r="B32" s="19" t="inlineStr">
        <is>
          <t>JIG_ULO_Z</t>
        </is>
      </c>
      <c r="C32" s="19" t="inlineStr">
        <is>
          <t>MADLN05BE</t>
        </is>
      </c>
      <c r="D32" s="20">
        <f>IFERROR(VLOOKUP(C32,파나소닉A6규격!$A:$C,2,FALSE),IFERROR(VLOOKUP(C32,파스텍EziServo규격!$A:$C,1,FALSE),""))</f>
        <v/>
      </c>
      <c r="E32" s="21">
        <f>IFERROR(VLOOKUP(C32,파나소닉A6규격!$A:$C,3,FALSE),IFERROR(VLOOKUP(C32,파스텍EziServo규격!$A:$C,3,FALSE),""))</f>
        <v/>
      </c>
      <c r="F32" s="22" t="n">
        <v>1</v>
      </c>
      <c r="G32" s="22" t="n">
        <v>0</v>
      </c>
      <c r="H32" s="22" t="n">
        <v>0</v>
      </c>
      <c r="I32" s="22" t="n">
        <v>1</v>
      </c>
      <c r="J32" s="22">
        <f>IFERROR(E32*0.9,"")</f>
        <v/>
      </c>
      <c r="K32" s="22" t="inlineStr">
        <is>
          <t>●</t>
        </is>
      </c>
      <c r="L32" s="22" t="inlineStr"/>
      <c r="M32" s="22" t="inlineStr"/>
      <c r="N32" s="22" t="inlineStr"/>
      <c r="O32" s="22" t="inlineStr"/>
      <c r="P32" s="22" t="inlineStr"/>
      <c r="Q32" s="19" t="inlineStr"/>
    </row>
    <row r="33" ht="17" customHeight="1">
      <c r="A33" s="23" t="inlineStr">
        <is>
          <t xml:space="preserve">  판넬1 AC 소계 소계</t>
        </is>
      </c>
      <c r="D33" s="24" t="n"/>
      <c r="E33" s="25">
        <f>SUM(E20:E32)</f>
        <v/>
      </c>
      <c r="F33" s="24" t="n"/>
      <c r="G33" s="24" t="n"/>
      <c r="H33" s="24" t="n"/>
      <c r="I33" s="24" t="n"/>
      <c r="J33" s="25">
        <f>SUM(J20:J32)</f>
        <v/>
      </c>
      <c r="K33" s="24" t="n"/>
      <c r="L33" s="24" t="n"/>
      <c r="M33" s="24" t="n"/>
      <c r="N33" s="24" t="n"/>
      <c r="O33" s="26">
        <f>CEILING(E33*1.25,5)</f>
        <v/>
      </c>
      <c r="P33" s="24" t="n"/>
      <c r="Q33" s="27" t="inlineStr">
        <is>
          <t>E×1.25→CEILING 5A 단위</t>
        </is>
      </c>
    </row>
    <row r="35" ht="16" customHeight="1">
      <c r="A35" s="28" t="inlineStr">
        <is>
          <t>■ 판넬1 — EziServo/EziSpeed (DC 24V)</t>
        </is>
      </c>
    </row>
    <row r="36" ht="17" customHeight="1">
      <c r="A36" s="29" t="inlineStr"/>
      <c r="B36" s="30" t="inlineStr">
        <is>
          <t>LO_R1 (#1)</t>
        </is>
      </c>
      <c r="C36" s="30" t="inlineStr">
        <is>
          <t>Ezi-EC-42XL-A</t>
        </is>
      </c>
      <c r="D36" s="31">
        <f>IFERROR(VLOOKUP(C36,파나소닉A6규격!$A:$C,2,FALSE),IFERROR(VLOOKUP(C36,파스텍EziServo규격!$A:$C,1,FALSE),""))</f>
        <v/>
      </c>
      <c r="E36" s="21">
        <f>IFERROR(VLOOKUP(C36,파나소닉A6규격!$A:$C,3,FALSE),IFERROR(VLOOKUP(C36,파스텍EziServo규격!$A:$C,3,FALSE),""))</f>
        <v/>
      </c>
      <c r="F36" s="29" t="n">
        <v>1</v>
      </c>
      <c r="G36" s="29" t="n">
        <v>0</v>
      </c>
      <c r="H36" s="29" t="n">
        <v>0</v>
      </c>
      <c r="I36" s="29" t="n">
        <v>0</v>
      </c>
      <c r="J36" s="29">
        <f>IFERROR(E36*0.9,"")</f>
        <v/>
      </c>
      <c r="K36" s="29" t="inlineStr"/>
      <c r="L36" s="29" t="inlineStr">
        <is>
          <t>●</t>
        </is>
      </c>
      <c r="M36" s="29" t="inlineStr"/>
      <c r="N36" s="29" t="inlineStr"/>
      <c r="O36" s="29" t="inlineStr"/>
      <c r="P36" s="29" t="inlineStr"/>
      <c r="Q36" s="30" t="inlineStr">
        <is>
          <t>EziServo EC (DC24V)</t>
        </is>
      </c>
    </row>
    <row r="37" ht="17" customHeight="1">
      <c r="A37" s="29" t="inlineStr"/>
      <c r="B37" s="30" t="inlineStr">
        <is>
          <t>LO_R1 (#2)</t>
        </is>
      </c>
      <c r="C37" s="30" t="inlineStr">
        <is>
          <t>Ezi-EC-42XL-A</t>
        </is>
      </c>
      <c r="D37" s="31">
        <f>IFERROR(VLOOKUP(C37,파나소닉A6규격!$A:$C,2,FALSE),IFERROR(VLOOKUP(C37,파스텍EziServo규격!$A:$C,1,FALSE),""))</f>
        <v/>
      </c>
      <c r="E37" s="21">
        <f>IFERROR(VLOOKUP(C37,파나소닉A6규격!$A:$C,3,FALSE),IFERROR(VLOOKUP(C37,파스텍EziServo규격!$A:$C,3,FALSE),""))</f>
        <v/>
      </c>
      <c r="F37" s="29" t="n">
        <v>1</v>
      </c>
      <c r="G37" s="29" t="n">
        <v>0</v>
      </c>
      <c r="H37" s="29" t="n">
        <v>0</v>
      </c>
      <c r="I37" s="29" t="n">
        <v>0</v>
      </c>
      <c r="J37" s="29">
        <f>IFERROR(E37*0.9,"")</f>
        <v/>
      </c>
      <c r="K37" s="29" t="inlineStr"/>
      <c r="L37" s="29" t="inlineStr">
        <is>
          <t>●</t>
        </is>
      </c>
      <c r="M37" s="29" t="inlineStr"/>
      <c r="N37" s="29" t="inlineStr"/>
      <c r="O37" s="29" t="inlineStr"/>
      <c r="P37" s="29" t="inlineStr"/>
      <c r="Q37" s="30" t="inlineStr">
        <is>
          <t>EziServo EC (DC24V)</t>
        </is>
      </c>
    </row>
    <row r="38" ht="17" customHeight="1">
      <c r="A38" s="23" t="inlineStr">
        <is>
          <t xml:space="preserve">  판넬1 EziServo 소계 소계</t>
        </is>
      </c>
      <c r="D38" s="24" t="n"/>
      <c r="E38" s="25">
        <f>SUM(E36:E37)</f>
        <v/>
      </c>
      <c r="F38" s="24" t="n"/>
      <c r="G38" s="24" t="n"/>
      <c r="H38" s="24" t="n"/>
      <c r="I38" s="24" t="n"/>
      <c r="J38" s="25">
        <f>SUM(J36:J37)</f>
        <v/>
      </c>
      <c r="K38" s="24" t="n"/>
      <c r="L38" s="24" t="n"/>
      <c r="M38" s="24" t="n"/>
      <c r="N38" s="24" t="n"/>
      <c r="O38" s="26">
        <f>CEILING(E38*1.25,5)</f>
        <v/>
      </c>
      <c r="P38" s="24" t="n"/>
      <c r="Q38" s="27" t="inlineStr">
        <is>
          <t>E×1.25→CEILING 5A 단위</t>
        </is>
      </c>
    </row>
    <row r="40" ht="16" customHeight="1">
      <c r="A40" s="17" t="inlineStr">
        <is>
          <t>■ 판넬2 — 파나소닉 A6 서보드라이버 (AC200V)</t>
        </is>
      </c>
    </row>
    <row r="41" ht="17" customHeight="1">
      <c r="A41" s="18" t="inlineStr">
        <is>
          <t>판넬2</t>
        </is>
      </c>
      <c r="B41" s="19" t="inlineStr">
        <is>
          <t>GOOD_EV</t>
        </is>
      </c>
      <c r="C41" s="19" t="inlineStr">
        <is>
          <t>MCDLN35BE</t>
        </is>
      </c>
      <c r="D41" s="20">
        <f>IFERROR(VLOOKUP(C41,파나소닉A6규격!$A:$C,2,FALSE),IFERROR(VLOOKUP(C41,파스텍EziServo규격!$A:$C,1,FALSE),""))</f>
        <v/>
      </c>
      <c r="E41" s="21">
        <f>IFERROR(VLOOKUP(C41,파나소닉A6규격!$A:$C,3,FALSE),IFERROR(VLOOKUP(C41,파스텍EziServo규격!$A:$C,3,FALSE),""))</f>
        <v/>
      </c>
      <c r="F41" s="22" t="n">
        <v>1</v>
      </c>
      <c r="G41" s="22" t="n">
        <v>1</v>
      </c>
      <c r="H41" s="22" t="n">
        <v>0</v>
      </c>
      <c r="I41" s="22" t="n">
        <v>0</v>
      </c>
      <c r="J41" s="22">
        <f>IFERROR(E41*0.9,"")</f>
        <v/>
      </c>
      <c r="K41" s="22" t="inlineStr">
        <is>
          <t>●</t>
        </is>
      </c>
      <c r="L41" s="22" t="inlineStr"/>
      <c r="M41" s="22" t="inlineStr"/>
      <c r="N41" s="22" t="inlineStr"/>
      <c r="O41" s="22" t="inlineStr"/>
      <c r="P41" s="22" t="inlineStr"/>
      <c r="Q41" s="19" t="inlineStr">
        <is>
          <t>800W 서보</t>
        </is>
      </c>
    </row>
    <row r="42" ht="17" customHeight="1">
      <c r="A42" s="22" t="inlineStr"/>
      <c r="B42" s="19" t="inlineStr">
        <is>
          <t>GOOD_FD</t>
        </is>
      </c>
      <c r="C42" s="19" t="inlineStr">
        <is>
          <t>MADLN05BE</t>
        </is>
      </c>
      <c r="D42" s="20">
        <f>IFERROR(VLOOKUP(C42,파나소닉A6규격!$A:$C,2,FALSE),IFERROR(VLOOKUP(C42,파스텍EziServo규격!$A:$C,1,FALSE),""))</f>
        <v/>
      </c>
      <c r="E42" s="21">
        <f>IFERROR(VLOOKUP(C42,파나소닉A6규격!$A:$C,3,FALSE),IFERROR(VLOOKUP(C42,파스텍EziServo규격!$A:$C,3,FALSE),""))</f>
        <v/>
      </c>
      <c r="F42" s="22" t="n">
        <v>1</v>
      </c>
      <c r="G42" s="22" t="n">
        <v>0</v>
      </c>
      <c r="H42" s="22" t="n">
        <v>1</v>
      </c>
      <c r="I42" s="22" t="n">
        <v>0</v>
      </c>
      <c r="J42" s="22">
        <f>IFERROR(E42*0.9,"")</f>
        <v/>
      </c>
      <c r="K42" s="22" t="inlineStr">
        <is>
          <t>●</t>
        </is>
      </c>
      <c r="L42" s="22" t="inlineStr"/>
      <c r="M42" s="22" t="inlineStr"/>
      <c r="N42" s="22" t="inlineStr"/>
      <c r="O42" s="22" t="inlineStr"/>
      <c r="P42" s="22" t="inlineStr"/>
      <c r="Q42" s="19" t="inlineStr"/>
    </row>
    <row r="43" ht="17" customHeight="1">
      <c r="A43" s="22" t="inlineStr"/>
      <c r="B43" s="19" t="inlineStr">
        <is>
          <t>GOOD_FD_Z</t>
        </is>
      </c>
      <c r="C43" s="19" t="inlineStr">
        <is>
          <t>MBDLN25BE</t>
        </is>
      </c>
      <c r="D43" s="20">
        <f>IFERROR(VLOOKUP(C43,파나소닉A6규격!$A:$C,2,FALSE),IFERROR(VLOOKUP(C43,파스텍EziServo규격!$A:$C,1,FALSE),""))</f>
        <v/>
      </c>
      <c r="E43" s="21">
        <f>IFERROR(VLOOKUP(C43,파나소닉A6규격!$A:$C,3,FALSE),IFERROR(VLOOKUP(C43,파스텍EziServo규격!$A:$C,3,FALSE),""))</f>
        <v/>
      </c>
      <c r="F43" s="22" t="n">
        <v>1</v>
      </c>
      <c r="G43" s="22" t="n">
        <v>1</v>
      </c>
      <c r="H43" s="22" t="n">
        <v>0</v>
      </c>
      <c r="I43" s="22" t="n">
        <v>0</v>
      </c>
      <c r="J43" s="22">
        <f>IFERROR(E43*0.9,"")</f>
        <v/>
      </c>
      <c r="K43" s="22" t="inlineStr">
        <is>
          <t>●</t>
        </is>
      </c>
      <c r="L43" s="22" t="inlineStr"/>
      <c r="M43" s="22" t="inlineStr"/>
      <c r="N43" s="22" t="inlineStr"/>
      <c r="O43" s="22" t="inlineStr"/>
      <c r="P43" s="22" t="inlineStr"/>
      <c r="Q43" s="19" t="inlineStr"/>
    </row>
    <row r="44" ht="17" customHeight="1">
      <c r="A44" s="22" t="inlineStr"/>
      <c r="B44" s="19" t="inlineStr">
        <is>
          <t>GOOD_FD_ALIGN</t>
        </is>
      </c>
      <c r="C44" s="19" t="inlineStr">
        <is>
          <t>MADLN05BE</t>
        </is>
      </c>
      <c r="D44" s="20">
        <f>IFERROR(VLOOKUP(C44,파나소닉A6규격!$A:$C,2,FALSE),IFERROR(VLOOKUP(C44,파스텍EziServo규격!$A:$C,1,FALSE),""))</f>
        <v/>
      </c>
      <c r="E44" s="21">
        <f>IFERROR(VLOOKUP(C44,파나소닉A6규격!$A:$C,3,FALSE),IFERROR(VLOOKUP(C44,파스텍EziServo규격!$A:$C,3,FALSE),""))</f>
        <v/>
      </c>
      <c r="F44" s="22" t="n">
        <v>1</v>
      </c>
      <c r="G44" s="22" t="n">
        <v>0</v>
      </c>
      <c r="H44" s="22" t="n">
        <v>0</v>
      </c>
      <c r="I44" s="22" t="n">
        <v>1</v>
      </c>
      <c r="J44" s="22">
        <f>IFERROR(E44*0.9,"")</f>
        <v/>
      </c>
      <c r="K44" s="22" t="inlineStr">
        <is>
          <t>●</t>
        </is>
      </c>
      <c r="L44" s="22" t="inlineStr"/>
      <c r="M44" s="22" t="inlineStr"/>
      <c r="N44" s="22" t="inlineStr"/>
      <c r="O44" s="22" t="inlineStr"/>
      <c r="P44" s="22" t="inlineStr"/>
      <c r="Q44" s="19" t="inlineStr"/>
    </row>
    <row r="45" ht="17" customHeight="1">
      <c r="A45" s="22" t="inlineStr"/>
      <c r="B45" s="19" t="inlineStr">
        <is>
          <t>GOOD_FD_INDEX</t>
        </is>
      </c>
      <c r="C45" s="19" t="inlineStr">
        <is>
          <t>MBDLN25BE</t>
        </is>
      </c>
      <c r="D45" s="20">
        <f>IFERROR(VLOOKUP(C45,파나소닉A6규격!$A:$C,2,FALSE),IFERROR(VLOOKUP(C45,파스텍EziServo규격!$A:$C,1,FALSE),""))</f>
        <v/>
      </c>
      <c r="E45" s="21">
        <f>IFERROR(VLOOKUP(C45,파나소닉A6규격!$A:$C,3,FALSE),IFERROR(VLOOKUP(C45,파스텍EziServo규격!$A:$C,3,FALSE),""))</f>
        <v/>
      </c>
      <c r="F45" s="22" t="n">
        <v>1</v>
      </c>
      <c r="G45" s="22" t="n">
        <v>0</v>
      </c>
      <c r="H45" s="22" t="n">
        <v>1</v>
      </c>
      <c r="I45" s="22" t="n">
        <v>0</v>
      </c>
      <c r="J45" s="22">
        <f>IFERROR(E45*0.9,"")</f>
        <v/>
      </c>
      <c r="K45" s="22" t="inlineStr">
        <is>
          <t>●</t>
        </is>
      </c>
      <c r="L45" s="22" t="inlineStr"/>
      <c r="M45" s="22" t="inlineStr"/>
      <c r="N45" s="22" t="inlineStr"/>
      <c r="O45" s="22" t="inlineStr"/>
      <c r="P45" s="22" t="inlineStr"/>
      <c r="Q45" s="19" t="inlineStr"/>
    </row>
    <row r="46" ht="17" customHeight="1">
      <c r="A46" s="22" t="inlineStr"/>
      <c r="B46" s="19" t="inlineStr">
        <is>
          <t>TURN_Y</t>
        </is>
      </c>
      <c r="C46" s="19" t="inlineStr">
        <is>
          <t>MBDLN25BE</t>
        </is>
      </c>
      <c r="D46" s="20">
        <f>IFERROR(VLOOKUP(C46,파나소닉A6규격!$A:$C,2,FALSE),IFERROR(VLOOKUP(C46,파스텍EziServo규격!$A:$C,1,FALSE),""))</f>
        <v/>
      </c>
      <c r="E46" s="21">
        <f>IFERROR(VLOOKUP(C46,파나소닉A6규격!$A:$C,3,FALSE),IFERROR(VLOOKUP(C46,파스텍EziServo규격!$A:$C,3,FALSE),""))</f>
        <v/>
      </c>
      <c r="F46" s="22" t="n">
        <v>1</v>
      </c>
      <c r="G46" s="22" t="n">
        <v>1</v>
      </c>
      <c r="H46" s="22" t="n">
        <v>0</v>
      </c>
      <c r="I46" s="22" t="n">
        <v>0</v>
      </c>
      <c r="J46" s="22">
        <f>IFERROR(E46*0.9,"")</f>
        <v/>
      </c>
      <c r="K46" s="22" t="inlineStr">
        <is>
          <t>●</t>
        </is>
      </c>
      <c r="L46" s="22" t="inlineStr"/>
      <c r="M46" s="22" t="inlineStr"/>
      <c r="N46" s="22" t="inlineStr"/>
      <c r="O46" s="22" t="inlineStr"/>
      <c r="P46" s="22" t="inlineStr"/>
      <c r="Q46" s="19" t="inlineStr"/>
    </row>
    <row r="47" ht="17" customHeight="1">
      <c r="A47" s="22" t="inlineStr"/>
      <c r="B47" s="19" t="inlineStr">
        <is>
          <t>TURN_GRIPPER_Y1</t>
        </is>
      </c>
      <c r="C47" s="19" t="inlineStr">
        <is>
          <t>MADLN15BE</t>
        </is>
      </c>
      <c r="D47" s="20">
        <f>IFERROR(VLOOKUP(C47,파나소닉A6규격!$A:$C,2,FALSE),IFERROR(VLOOKUP(C47,파스텍EziServo규격!$A:$C,1,FALSE),""))</f>
        <v/>
      </c>
      <c r="E47" s="21">
        <f>IFERROR(VLOOKUP(C47,파나소닉A6규격!$A:$C,3,FALSE),IFERROR(VLOOKUP(C47,파스텍EziServo규격!$A:$C,3,FALSE),""))</f>
        <v/>
      </c>
      <c r="F47" s="22" t="n">
        <v>1</v>
      </c>
      <c r="G47" s="22" t="n">
        <v>0</v>
      </c>
      <c r="H47" s="22" t="n">
        <v>1</v>
      </c>
      <c r="I47" s="22" t="n">
        <v>0</v>
      </c>
      <c r="J47" s="22">
        <f>IFERROR(E47*0.9,"")</f>
        <v/>
      </c>
      <c r="K47" s="22" t="inlineStr">
        <is>
          <t>●</t>
        </is>
      </c>
      <c r="L47" s="22" t="inlineStr"/>
      <c r="M47" s="22" t="inlineStr"/>
      <c r="N47" s="22" t="inlineStr"/>
      <c r="O47" s="22" t="inlineStr"/>
      <c r="P47" s="22" t="inlineStr"/>
      <c r="Q47" s="19" t="inlineStr"/>
    </row>
    <row r="48" ht="17" customHeight="1">
      <c r="A48" s="22" t="inlineStr"/>
      <c r="B48" s="19" t="inlineStr">
        <is>
          <t>TURN_GRIPPER_X1</t>
        </is>
      </c>
      <c r="C48" s="19" t="inlineStr">
        <is>
          <t>MADLN15BE</t>
        </is>
      </c>
      <c r="D48" s="20">
        <f>IFERROR(VLOOKUP(C48,파나소닉A6규격!$A:$C,2,FALSE),IFERROR(VLOOKUP(C48,파스텍EziServo규격!$A:$C,1,FALSE),""))</f>
        <v/>
      </c>
      <c r="E48" s="21">
        <f>IFERROR(VLOOKUP(C48,파나소닉A6규격!$A:$C,3,FALSE),IFERROR(VLOOKUP(C48,파스텍EziServo규격!$A:$C,3,FALSE),""))</f>
        <v/>
      </c>
      <c r="F48" s="22" t="n">
        <v>1</v>
      </c>
      <c r="G48" s="22" t="n">
        <v>0</v>
      </c>
      <c r="H48" s="22" t="n">
        <v>0</v>
      </c>
      <c r="I48" s="22" t="n">
        <v>1</v>
      </c>
      <c r="J48" s="22">
        <f>IFERROR(E48*0.9,"")</f>
        <v/>
      </c>
      <c r="K48" s="22" t="inlineStr">
        <is>
          <t>●</t>
        </is>
      </c>
      <c r="L48" s="22" t="inlineStr"/>
      <c r="M48" s="22" t="inlineStr"/>
      <c r="N48" s="22" t="inlineStr"/>
      <c r="O48" s="22" t="inlineStr"/>
      <c r="P48" s="22" t="inlineStr"/>
      <c r="Q48" s="19" t="inlineStr"/>
    </row>
    <row r="49" ht="17" customHeight="1">
      <c r="A49" s="22" t="inlineStr"/>
      <c r="B49" s="19" t="inlineStr">
        <is>
          <t>TURN_GRIPPER_Z1</t>
        </is>
      </c>
      <c r="C49" s="19" t="inlineStr">
        <is>
          <t>MADLN05BE</t>
        </is>
      </c>
      <c r="D49" s="20">
        <f>IFERROR(VLOOKUP(C49,파나소닉A6규격!$A:$C,2,FALSE),IFERROR(VLOOKUP(C49,파스텍EziServo규격!$A:$C,1,FALSE),""))</f>
        <v/>
      </c>
      <c r="E49" s="21">
        <f>IFERROR(VLOOKUP(C49,파나소닉A6규격!$A:$C,3,FALSE),IFERROR(VLOOKUP(C49,파스텍EziServo규격!$A:$C,3,FALSE),""))</f>
        <v/>
      </c>
      <c r="F49" s="22" t="n">
        <v>1</v>
      </c>
      <c r="G49" s="22" t="n">
        <v>1</v>
      </c>
      <c r="H49" s="22" t="n">
        <v>0</v>
      </c>
      <c r="I49" s="22" t="n">
        <v>0</v>
      </c>
      <c r="J49" s="22">
        <f>IFERROR(E49*0.9,"")</f>
        <v/>
      </c>
      <c r="K49" s="22" t="inlineStr">
        <is>
          <t>●</t>
        </is>
      </c>
      <c r="L49" s="22" t="inlineStr"/>
      <c r="M49" s="22" t="inlineStr"/>
      <c r="N49" s="22" t="inlineStr"/>
      <c r="O49" s="22" t="inlineStr"/>
      <c r="P49" s="22" t="inlineStr"/>
      <c r="Q49" s="19" t="inlineStr">
        <is>
          <t>50W 모터</t>
        </is>
      </c>
    </row>
    <row r="50" ht="17" customHeight="1">
      <c r="A50" s="22" t="inlineStr"/>
      <c r="B50" s="19" t="inlineStr">
        <is>
          <t>TURN_GRIPPER_Y2</t>
        </is>
      </c>
      <c r="C50" s="19" t="inlineStr">
        <is>
          <t>MADLN15BE</t>
        </is>
      </c>
      <c r="D50" s="20">
        <f>IFERROR(VLOOKUP(C50,파나소닉A6규격!$A:$C,2,FALSE),IFERROR(VLOOKUP(C50,파스텍EziServo규격!$A:$C,1,FALSE),""))</f>
        <v/>
      </c>
      <c r="E50" s="21">
        <f>IFERROR(VLOOKUP(C50,파나소닉A6규격!$A:$C,3,FALSE),IFERROR(VLOOKUP(C50,파스텍EziServo규격!$A:$C,3,FALSE),""))</f>
        <v/>
      </c>
      <c r="F50" s="22" t="n">
        <v>1</v>
      </c>
      <c r="G50" s="22" t="n">
        <v>0</v>
      </c>
      <c r="H50" s="22" t="n">
        <v>1</v>
      </c>
      <c r="I50" s="22" t="n">
        <v>0</v>
      </c>
      <c r="J50" s="22">
        <f>IFERROR(E50*0.9,"")</f>
        <v/>
      </c>
      <c r="K50" s="22" t="inlineStr">
        <is>
          <t>●</t>
        </is>
      </c>
      <c r="L50" s="22" t="inlineStr"/>
      <c r="M50" s="22" t="inlineStr"/>
      <c r="N50" s="22" t="inlineStr"/>
      <c r="O50" s="22" t="inlineStr"/>
      <c r="P50" s="22" t="inlineStr"/>
      <c r="Q50" s="19" t="inlineStr"/>
    </row>
    <row r="51" ht="17" customHeight="1">
      <c r="A51" s="22" t="inlineStr"/>
      <c r="B51" s="19" t="inlineStr">
        <is>
          <t>TURN_GRIPPER_X2</t>
        </is>
      </c>
      <c r="C51" s="19" t="inlineStr">
        <is>
          <t>MADLN15BE</t>
        </is>
      </c>
      <c r="D51" s="20">
        <f>IFERROR(VLOOKUP(C51,파나소닉A6규격!$A:$C,2,FALSE),IFERROR(VLOOKUP(C51,파스텍EziServo규격!$A:$C,1,FALSE),""))</f>
        <v/>
      </c>
      <c r="E51" s="21">
        <f>IFERROR(VLOOKUP(C51,파나소닉A6규격!$A:$C,3,FALSE),IFERROR(VLOOKUP(C51,파스텍EziServo규격!$A:$C,3,FALSE),""))</f>
        <v/>
      </c>
      <c r="F51" s="22" t="n">
        <v>1</v>
      </c>
      <c r="G51" s="22" t="n">
        <v>0</v>
      </c>
      <c r="H51" s="22" t="n">
        <v>0</v>
      </c>
      <c r="I51" s="22" t="n">
        <v>1</v>
      </c>
      <c r="J51" s="22">
        <f>IFERROR(E51*0.9,"")</f>
        <v/>
      </c>
      <c r="K51" s="22" t="inlineStr">
        <is>
          <t>●</t>
        </is>
      </c>
      <c r="L51" s="22" t="inlineStr"/>
      <c r="M51" s="22" t="inlineStr"/>
      <c r="N51" s="22" t="inlineStr"/>
      <c r="O51" s="22" t="inlineStr"/>
      <c r="P51" s="22" t="inlineStr"/>
      <c r="Q51" s="19" t="inlineStr"/>
    </row>
    <row r="52" ht="17" customHeight="1">
      <c r="A52" s="22" t="inlineStr"/>
      <c r="B52" s="19" t="inlineStr">
        <is>
          <t>TURN_GRIPPER_Z2</t>
        </is>
      </c>
      <c r="C52" s="19" t="inlineStr">
        <is>
          <t>MADLN05BE</t>
        </is>
      </c>
      <c r="D52" s="20">
        <f>IFERROR(VLOOKUP(C52,파나소닉A6규격!$A:$C,2,FALSE),IFERROR(VLOOKUP(C52,파스텍EziServo규격!$A:$C,1,FALSE),""))</f>
        <v/>
      </c>
      <c r="E52" s="21">
        <f>IFERROR(VLOOKUP(C52,파나소닉A6규격!$A:$C,3,FALSE),IFERROR(VLOOKUP(C52,파스텍EziServo규격!$A:$C,3,FALSE),""))</f>
        <v/>
      </c>
      <c r="F52" s="22" t="n">
        <v>1</v>
      </c>
      <c r="G52" s="22" t="n">
        <v>1</v>
      </c>
      <c r="H52" s="22" t="n">
        <v>0</v>
      </c>
      <c r="I52" s="22" t="n">
        <v>0</v>
      </c>
      <c r="J52" s="22">
        <f>IFERROR(E52*0.9,"")</f>
        <v/>
      </c>
      <c r="K52" s="22" t="inlineStr">
        <is>
          <t>●</t>
        </is>
      </c>
      <c r="L52" s="22" t="inlineStr"/>
      <c r="M52" s="22" t="inlineStr"/>
      <c r="N52" s="22" t="inlineStr"/>
      <c r="O52" s="22" t="inlineStr"/>
      <c r="P52" s="22" t="inlineStr"/>
      <c r="Q52" s="19" t="inlineStr">
        <is>
          <t>50W 모터</t>
        </is>
      </c>
    </row>
    <row r="53" ht="17" customHeight="1">
      <c r="A53" s="22" t="inlineStr"/>
      <c r="B53" s="19" t="inlineStr">
        <is>
          <t>BOT_MAC_Y</t>
        </is>
      </c>
      <c r="C53" s="19" t="inlineStr">
        <is>
          <t>MADLN15BE</t>
        </is>
      </c>
      <c r="D53" s="20">
        <f>IFERROR(VLOOKUP(C53,파나소닉A6규격!$A:$C,2,FALSE),IFERROR(VLOOKUP(C53,파스텍EziServo규격!$A:$C,1,FALSE),""))</f>
        <v/>
      </c>
      <c r="E53" s="21">
        <f>IFERROR(VLOOKUP(C53,파나소닉A6규격!$A:$C,3,FALSE),IFERROR(VLOOKUP(C53,파스텍EziServo규격!$A:$C,3,FALSE),""))</f>
        <v/>
      </c>
      <c r="F53" s="22" t="n">
        <v>1</v>
      </c>
      <c r="G53" s="22" t="n">
        <v>0</v>
      </c>
      <c r="H53" s="22" t="n">
        <v>1</v>
      </c>
      <c r="I53" s="22" t="n">
        <v>0</v>
      </c>
      <c r="J53" s="22">
        <f>IFERROR(E53*0.9,"")</f>
        <v/>
      </c>
      <c r="K53" s="22" t="inlineStr">
        <is>
          <t>●</t>
        </is>
      </c>
      <c r="L53" s="22" t="inlineStr"/>
      <c r="M53" s="22" t="inlineStr"/>
      <c r="N53" s="22" t="inlineStr"/>
      <c r="O53" s="22" t="inlineStr"/>
      <c r="P53" s="22" t="inlineStr"/>
      <c r="Q53" s="19" t="inlineStr"/>
    </row>
    <row r="54" ht="17" customHeight="1">
      <c r="A54" s="23" t="inlineStr">
        <is>
          <t xml:space="preserve">  판넬2 AC 소계 소계</t>
        </is>
      </c>
      <c r="D54" s="24" t="n"/>
      <c r="E54" s="25">
        <f>SUM(E41:E53)</f>
        <v/>
      </c>
      <c r="F54" s="24" t="n"/>
      <c r="G54" s="24" t="n"/>
      <c r="H54" s="24" t="n"/>
      <c r="I54" s="24" t="n"/>
      <c r="J54" s="25">
        <f>SUM(J41:J53)</f>
        <v/>
      </c>
      <c r="K54" s="24" t="n"/>
      <c r="L54" s="24" t="n"/>
      <c r="M54" s="24" t="n"/>
      <c r="N54" s="24" t="n"/>
      <c r="O54" s="26">
        <f>CEILING(E54*1.25,5)</f>
        <v/>
      </c>
      <c r="P54" s="24" t="n"/>
      <c r="Q54" s="27" t="inlineStr">
        <is>
          <t>E×1.25→CEILING 5A 단위</t>
        </is>
      </c>
    </row>
    <row r="56" ht="16" customHeight="1">
      <c r="A56" s="17" t="inlineStr">
        <is>
          <t>■ 판넬3 — 파나소닉 A6 서보드라이버 (AC200V)</t>
        </is>
      </c>
    </row>
    <row r="57" ht="17" customHeight="1">
      <c r="A57" s="18" t="inlineStr">
        <is>
          <t>판넬3</t>
        </is>
      </c>
      <c r="B57" s="19" t="inlineStr">
        <is>
          <t>BOT_MAC_X</t>
        </is>
      </c>
      <c r="C57" s="19" t="inlineStr">
        <is>
          <t>MADLN15BE</t>
        </is>
      </c>
      <c r="D57" s="20">
        <f>IFERROR(VLOOKUP(C57,파나소닉A6규격!$A:$C,2,FALSE),IFERROR(VLOOKUP(C57,파스텍EziServo규격!$A:$C,1,FALSE),""))</f>
        <v/>
      </c>
      <c r="E57" s="21">
        <f>IFERROR(VLOOKUP(C57,파나소닉A6규격!$A:$C,3,FALSE),IFERROR(VLOOKUP(C57,파스텍EziServo규격!$A:$C,3,FALSE),""))</f>
        <v/>
      </c>
      <c r="F57" s="22" t="n">
        <v>1</v>
      </c>
      <c r="G57" s="22" t="n">
        <v>0</v>
      </c>
      <c r="H57" s="22" t="n">
        <v>0</v>
      </c>
      <c r="I57" s="22" t="n">
        <v>1</v>
      </c>
      <c r="J57" s="22">
        <f>IFERROR(E57*0.9,"")</f>
        <v/>
      </c>
      <c r="K57" s="22" t="inlineStr">
        <is>
          <t>●</t>
        </is>
      </c>
      <c r="L57" s="22" t="inlineStr"/>
      <c r="M57" s="22" t="inlineStr"/>
      <c r="N57" s="22" t="inlineStr"/>
      <c r="O57" s="22" t="inlineStr"/>
      <c r="P57" s="22" t="inlineStr"/>
      <c r="Q57" s="19" t="inlineStr"/>
    </row>
    <row r="58" ht="17" customHeight="1">
      <c r="A58" s="22" t="inlineStr"/>
      <c r="B58" s="19" t="inlineStr">
        <is>
          <t>BOT_MAC_Z</t>
        </is>
      </c>
      <c r="C58" s="19" t="inlineStr">
        <is>
          <t>MADLN05BE</t>
        </is>
      </c>
      <c r="D58" s="20">
        <f>IFERROR(VLOOKUP(C58,파나소닉A6규격!$A:$C,2,FALSE),IFERROR(VLOOKUP(C58,파스텍EziServo규격!$A:$C,1,FALSE),""))</f>
        <v/>
      </c>
      <c r="E58" s="21">
        <f>IFERROR(VLOOKUP(C58,파나소닉A6규격!$A:$C,3,FALSE),IFERROR(VLOOKUP(C58,파스텍EziServo규격!$A:$C,3,FALSE),""))</f>
        <v/>
      </c>
      <c r="F58" s="22" t="n">
        <v>1</v>
      </c>
      <c r="G58" s="22" t="n">
        <v>1</v>
      </c>
      <c r="H58" s="22" t="n">
        <v>0</v>
      </c>
      <c r="I58" s="22" t="n">
        <v>0</v>
      </c>
      <c r="J58" s="22">
        <f>IFERROR(E58*0.9,"")</f>
        <v/>
      </c>
      <c r="K58" s="22" t="inlineStr">
        <is>
          <t>●</t>
        </is>
      </c>
      <c r="L58" s="22" t="inlineStr"/>
      <c r="M58" s="22" t="inlineStr"/>
      <c r="N58" s="22" t="inlineStr"/>
      <c r="O58" s="22" t="inlineStr"/>
      <c r="P58" s="22" t="inlineStr"/>
      <c r="Q58" s="19" t="inlineStr"/>
    </row>
    <row r="59" ht="17" customHeight="1">
      <c r="A59" s="22" t="inlineStr"/>
      <c r="B59" s="19" t="inlineStr">
        <is>
          <t>BOT_MIC_Y</t>
        </is>
      </c>
      <c r="C59" s="19" t="inlineStr">
        <is>
          <t>MADLN15BE</t>
        </is>
      </c>
      <c r="D59" s="20">
        <f>IFERROR(VLOOKUP(C59,파나소닉A6규격!$A:$C,2,FALSE),IFERROR(VLOOKUP(C59,파스텍EziServo규격!$A:$C,1,FALSE),""))</f>
        <v/>
      </c>
      <c r="E59" s="21">
        <f>IFERROR(VLOOKUP(C59,파나소닉A6규격!$A:$C,3,FALSE),IFERROR(VLOOKUP(C59,파스텍EziServo규격!$A:$C,3,FALSE),""))</f>
        <v/>
      </c>
      <c r="F59" s="22" t="n">
        <v>1</v>
      </c>
      <c r="G59" s="22" t="n">
        <v>0</v>
      </c>
      <c r="H59" s="22" t="n">
        <v>1</v>
      </c>
      <c r="I59" s="22" t="n">
        <v>0</v>
      </c>
      <c r="J59" s="22">
        <f>IFERROR(E59*0.9,"")</f>
        <v/>
      </c>
      <c r="K59" s="22" t="inlineStr">
        <is>
          <t>●</t>
        </is>
      </c>
      <c r="L59" s="22" t="inlineStr"/>
      <c r="M59" s="22" t="inlineStr"/>
      <c r="N59" s="22" t="inlineStr"/>
      <c r="O59" s="22" t="inlineStr"/>
      <c r="P59" s="22" t="inlineStr"/>
      <c r="Q59" s="19" t="inlineStr"/>
    </row>
    <row r="60" ht="17" customHeight="1">
      <c r="A60" s="22" t="inlineStr"/>
      <c r="B60" s="19" t="inlineStr">
        <is>
          <t>BOT_MIC_X</t>
        </is>
      </c>
      <c r="C60" s="19" t="inlineStr">
        <is>
          <t>MADLN15BE</t>
        </is>
      </c>
      <c r="D60" s="20">
        <f>IFERROR(VLOOKUP(C60,파나소닉A6규격!$A:$C,2,FALSE),IFERROR(VLOOKUP(C60,파스텍EziServo규격!$A:$C,1,FALSE),""))</f>
        <v/>
      </c>
      <c r="E60" s="21">
        <f>IFERROR(VLOOKUP(C60,파나소닉A6규격!$A:$C,3,FALSE),IFERROR(VLOOKUP(C60,파스텍EziServo규격!$A:$C,3,FALSE),""))</f>
        <v/>
      </c>
      <c r="F60" s="22" t="n">
        <v>1</v>
      </c>
      <c r="G60" s="22" t="n">
        <v>0</v>
      </c>
      <c r="H60" s="22" t="n">
        <v>0</v>
      </c>
      <c r="I60" s="22" t="n">
        <v>1</v>
      </c>
      <c r="J60" s="22">
        <f>IFERROR(E60*0.9,"")</f>
        <v/>
      </c>
      <c r="K60" s="22" t="inlineStr">
        <is>
          <t>●</t>
        </is>
      </c>
      <c r="L60" s="22" t="inlineStr"/>
      <c r="M60" s="22" t="inlineStr"/>
      <c r="N60" s="22" t="inlineStr"/>
      <c r="O60" s="22" t="inlineStr"/>
      <c r="P60" s="22" t="inlineStr"/>
      <c r="Q60" s="19" t="inlineStr"/>
    </row>
    <row r="61" ht="17" customHeight="1">
      <c r="A61" s="22" t="inlineStr"/>
      <c r="B61" s="19" t="inlineStr">
        <is>
          <t>BOT_MIC_Z</t>
        </is>
      </c>
      <c r="C61" s="19" t="inlineStr">
        <is>
          <t>MADLN05BE</t>
        </is>
      </c>
      <c r="D61" s="20">
        <f>IFERROR(VLOOKUP(C61,파나소닉A6규격!$A:$C,2,FALSE),IFERROR(VLOOKUP(C61,파스텍EziServo규격!$A:$C,1,FALSE),""))</f>
        <v/>
      </c>
      <c r="E61" s="21">
        <f>IFERROR(VLOOKUP(C61,파나소닉A6규격!$A:$C,3,FALSE),IFERROR(VLOOKUP(C61,파스텍EziServo규격!$A:$C,3,FALSE),""))</f>
        <v/>
      </c>
      <c r="F61" s="22" t="n">
        <v>1</v>
      </c>
      <c r="G61" s="22" t="n">
        <v>1</v>
      </c>
      <c r="H61" s="22" t="n">
        <v>0</v>
      </c>
      <c r="I61" s="22" t="n">
        <v>0</v>
      </c>
      <c r="J61" s="22">
        <f>IFERROR(E61*0.9,"")</f>
        <v/>
      </c>
      <c r="K61" s="22" t="inlineStr">
        <is>
          <t>●</t>
        </is>
      </c>
      <c r="L61" s="22" t="inlineStr"/>
      <c r="M61" s="22" t="inlineStr"/>
      <c r="N61" s="22" t="inlineStr"/>
      <c r="O61" s="22" t="inlineStr"/>
      <c r="P61" s="22" t="inlineStr"/>
      <c r="Q61" s="19" t="inlineStr"/>
    </row>
    <row r="62" ht="17" customHeight="1">
      <c r="A62" s="22" t="inlineStr"/>
      <c r="B62" s="19" t="inlineStr">
        <is>
          <t>LO_ATC_X</t>
        </is>
      </c>
      <c r="C62" s="19" t="inlineStr">
        <is>
          <t>MADLN15BE</t>
        </is>
      </c>
      <c r="D62" s="20">
        <f>IFERROR(VLOOKUP(C62,파나소닉A6규격!$A:$C,2,FALSE),IFERROR(VLOOKUP(C62,파스텍EziServo규격!$A:$C,1,FALSE),""))</f>
        <v/>
      </c>
      <c r="E62" s="21">
        <f>IFERROR(VLOOKUP(C62,파나소닉A6규격!$A:$C,3,FALSE),IFERROR(VLOOKUP(C62,파스텍EziServo규격!$A:$C,3,FALSE),""))</f>
        <v/>
      </c>
      <c r="F62" s="22" t="n">
        <v>1</v>
      </c>
      <c r="G62" s="22" t="n">
        <v>0</v>
      </c>
      <c r="H62" s="22" t="n">
        <v>1</v>
      </c>
      <c r="I62" s="22" t="n">
        <v>0</v>
      </c>
      <c r="J62" s="22">
        <f>IFERROR(E62*0.9,"")</f>
        <v/>
      </c>
      <c r="K62" s="22" t="inlineStr">
        <is>
          <t>●</t>
        </is>
      </c>
      <c r="L62" s="22" t="inlineStr"/>
      <c r="M62" s="22" t="inlineStr"/>
      <c r="N62" s="22" t="inlineStr"/>
      <c r="O62" s="22" t="inlineStr"/>
      <c r="P62" s="22" t="inlineStr"/>
      <c r="Q62" s="19" t="inlineStr"/>
    </row>
    <row r="63" ht="17" customHeight="1">
      <c r="A63" s="22" t="inlineStr"/>
      <c r="B63" s="19" t="inlineStr">
        <is>
          <t>LO_ATC_Z</t>
        </is>
      </c>
      <c r="C63" s="19" t="inlineStr">
        <is>
          <t>MADLN15BE</t>
        </is>
      </c>
      <c r="D63" s="20">
        <f>IFERROR(VLOOKUP(C63,파나소닉A6규격!$A:$C,2,FALSE),IFERROR(VLOOKUP(C63,파스텍EziServo규격!$A:$C,1,FALSE),""))</f>
        <v/>
      </c>
      <c r="E63" s="21">
        <f>IFERROR(VLOOKUP(C63,파나소닉A6규격!$A:$C,3,FALSE),IFERROR(VLOOKUP(C63,파스텍EziServo규격!$A:$C,3,FALSE),""))</f>
        <v/>
      </c>
      <c r="F63" s="22" t="n">
        <v>1</v>
      </c>
      <c r="G63" s="22" t="n">
        <v>0</v>
      </c>
      <c r="H63" s="22" t="n">
        <v>0</v>
      </c>
      <c r="I63" s="22" t="n">
        <v>1</v>
      </c>
      <c r="J63" s="22">
        <f>IFERROR(E63*0.9,"")</f>
        <v/>
      </c>
      <c r="K63" s="22" t="inlineStr">
        <is>
          <t>●</t>
        </is>
      </c>
      <c r="L63" s="22" t="inlineStr"/>
      <c r="M63" s="22" t="inlineStr"/>
      <c r="N63" s="22" t="inlineStr"/>
      <c r="O63" s="22" t="inlineStr"/>
      <c r="P63" s="22" t="inlineStr"/>
      <c r="Q63" s="19" t="inlineStr"/>
    </row>
    <row r="64" ht="17" customHeight="1">
      <c r="A64" s="22" t="inlineStr"/>
      <c r="B64" s="19" t="inlineStr">
        <is>
          <t>SIDE_X1</t>
        </is>
      </c>
      <c r="C64" s="19" t="inlineStr">
        <is>
          <t>MADLN05BE</t>
        </is>
      </c>
      <c r="D64" s="20">
        <f>IFERROR(VLOOKUP(C64,파나소닉A6규격!$A:$C,2,FALSE),IFERROR(VLOOKUP(C64,파스텍EziServo규격!$A:$C,1,FALSE),""))</f>
        <v/>
      </c>
      <c r="E64" s="21">
        <f>IFERROR(VLOOKUP(C64,파나소닉A6규격!$A:$C,3,FALSE),IFERROR(VLOOKUP(C64,파스텍EziServo규격!$A:$C,3,FALSE),""))</f>
        <v/>
      </c>
      <c r="F64" s="22" t="n">
        <v>1</v>
      </c>
      <c r="G64" s="22" t="n">
        <v>1</v>
      </c>
      <c r="H64" s="22" t="n">
        <v>0</v>
      </c>
      <c r="I64" s="22" t="n">
        <v>0</v>
      </c>
      <c r="J64" s="22">
        <f>IFERROR(E64*0.9,"")</f>
        <v/>
      </c>
      <c r="K64" s="22" t="inlineStr">
        <is>
          <t>●</t>
        </is>
      </c>
      <c r="L64" s="22" t="inlineStr"/>
      <c r="M64" s="22" t="inlineStr"/>
      <c r="N64" s="22" t="inlineStr"/>
      <c r="O64" s="22" t="inlineStr"/>
      <c r="P64" s="22" t="inlineStr"/>
      <c r="Q64" s="19" t="inlineStr"/>
    </row>
    <row r="65" ht="17" customHeight="1">
      <c r="A65" s="22" t="inlineStr"/>
      <c r="B65" s="19" t="inlineStr">
        <is>
          <t>SIDE_Y1</t>
        </is>
      </c>
      <c r="C65" s="19" t="inlineStr">
        <is>
          <t>MADLN15BE</t>
        </is>
      </c>
      <c r="D65" s="20">
        <f>IFERROR(VLOOKUP(C65,파나소닉A6규격!$A:$C,2,FALSE),IFERROR(VLOOKUP(C65,파스텍EziServo규격!$A:$C,1,FALSE),""))</f>
        <v/>
      </c>
      <c r="E65" s="21">
        <f>IFERROR(VLOOKUP(C65,파나소닉A6규격!$A:$C,3,FALSE),IFERROR(VLOOKUP(C65,파스텍EziServo규격!$A:$C,3,FALSE),""))</f>
        <v/>
      </c>
      <c r="F65" s="22" t="n">
        <v>1</v>
      </c>
      <c r="G65" s="22" t="n">
        <v>0</v>
      </c>
      <c r="H65" s="22" t="n">
        <v>1</v>
      </c>
      <c r="I65" s="22" t="n">
        <v>0</v>
      </c>
      <c r="J65" s="22">
        <f>IFERROR(E65*0.9,"")</f>
        <v/>
      </c>
      <c r="K65" s="22" t="inlineStr">
        <is>
          <t>●</t>
        </is>
      </c>
      <c r="L65" s="22" t="inlineStr"/>
      <c r="M65" s="22" t="inlineStr"/>
      <c r="N65" s="22" t="inlineStr"/>
      <c r="O65" s="22" t="inlineStr"/>
      <c r="P65" s="22" t="inlineStr"/>
      <c r="Q65" s="19" t="inlineStr"/>
    </row>
    <row r="66" ht="17" customHeight="1">
      <c r="A66" s="22" t="inlineStr"/>
      <c r="B66" s="19" t="inlineStr">
        <is>
          <t>SIDE_T1</t>
        </is>
      </c>
      <c r="C66" s="19" t="inlineStr">
        <is>
          <t>MADLN05BE</t>
        </is>
      </c>
      <c r="D66" s="20">
        <f>IFERROR(VLOOKUP(C66,파나소닉A6규격!$A:$C,2,FALSE),IFERROR(VLOOKUP(C66,파스텍EziServo규격!$A:$C,1,FALSE),""))</f>
        <v/>
      </c>
      <c r="E66" s="21">
        <f>IFERROR(VLOOKUP(C66,파나소닉A6규격!$A:$C,3,FALSE),IFERROR(VLOOKUP(C66,파스텍EziServo규격!$A:$C,3,FALSE),""))</f>
        <v/>
      </c>
      <c r="F66" s="22" t="n">
        <v>1</v>
      </c>
      <c r="G66" s="22" t="n">
        <v>0</v>
      </c>
      <c r="H66" s="22" t="n">
        <v>0</v>
      </c>
      <c r="I66" s="22" t="n">
        <v>1</v>
      </c>
      <c r="J66" s="22">
        <f>IFERROR(E66*0.9,"")</f>
        <v/>
      </c>
      <c r="K66" s="22" t="inlineStr">
        <is>
          <t>●</t>
        </is>
      </c>
      <c r="L66" s="22" t="inlineStr"/>
      <c r="M66" s="22" t="inlineStr"/>
      <c r="N66" s="22" t="inlineStr"/>
      <c r="O66" s="22" t="inlineStr"/>
      <c r="P66" s="22" t="inlineStr"/>
      <c r="Q66" s="19" t="inlineStr">
        <is>
          <t>50W</t>
        </is>
      </c>
    </row>
    <row r="67" ht="17" customHeight="1">
      <c r="A67" s="22" t="inlineStr"/>
      <c r="B67" s="19" t="inlineStr">
        <is>
          <t>SIDE_X2</t>
        </is>
      </c>
      <c r="C67" s="19" t="inlineStr">
        <is>
          <t>MADLN05BE</t>
        </is>
      </c>
      <c r="D67" s="20">
        <f>IFERROR(VLOOKUP(C67,파나소닉A6규격!$A:$C,2,FALSE),IFERROR(VLOOKUP(C67,파스텍EziServo규격!$A:$C,1,FALSE),""))</f>
        <v/>
      </c>
      <c r="E67" s="21">
        <f>IFERROR(VLOOKUP(C67,파나소닉A6규격!$A:$C,3,FALSE),IFERROR(VLOOKUP(C67,파스텍EziServo규격!$A:$C,3,FALSE),""))</f>
        <v/>
      </c>
      <c r="F67" s="22" t="n">
        <v>1</v>
      </c>
      <c r="G67" s="22" t="n">
        <v>1</v>
      </c>
      <c r="H67" s="22" t="n">
        <v>0</v>
      </c>
      <c r="I67" s="22" t="n">
        <v>0</v>
      </c>
      <c r="J67" s="22">
        <f>IFERROR(E67*0.9,"")</f>
        <v/>
      </c>
      <c r="K67" s="22" t="inlineStr">
        <is>
          <t>●</t>
        </is>
      </c>
      <c r="L67" s="22" t="inlineStr"/>
      <c r="M67" s="22" t="inlineStr"/>
      <c r="N67" s="22" t="inlineStr"/>
      <c r="O67" s="22" t="inlineStr"/>
      <c r="P67" s="22" t="inlineStr"/>
      <c r="Q67" s="19" t="inlineStr"/>
    </row>
    <row r="68" ht="17" customHeight="1">
      <c r="A68" s="22" t="inlineStr"/>
      <c r="B68" s="19" t="inlineStr">
        <is>
          <t>SIDE_Y2</t>
        </is>
      </c>
      <c r="C68" s="19" t="inlineStr">
        <is>
          <t>MADLN15BE</t>
        </is>
      </c>
      <c r="D68" s="20">
        <f>IFERROR(VLOOKUP(C68,파나소닉A6규격!$A:$C,2,FALSE),IFERROR(VLOOKUP(C68,파스텍EziServo규격!$A:$C,1,FALSE),""))</f>
        <v/>
      </c>
      <c r="E68" s="21">
        <f>IFERROR(VLOOKUP(C68,파나소닉A6규격!$A:$C,3,FALSE),IFERROR(VLOOKUP(C68,파스텍EziServo규격!$A:$C,3,FALSE),""))</f>
        <v/>
      </c>
      <c r="F68" s="22" t="n">
        <v>1</v>
      </c>
      <c r="G68" s="22" t="n">
        <v>0</v>
      </c>
      <c r="H68" s="22" t="n">
        <v>1</v>
      </c>
      <c r="I68" s="22" t="n">
        <v>0</v>
      </c>
      <c r="J68" s="22">
        <f>IFERROR(E68*0.9,"")</f>
        <v/>
      </c>
      <c r="K68" s="22" t="inlineStr">
        <is>
          <t>●</t>
        </is>
      </c>
      <c r="L68" s="22" t="inlineStr"/>
      <c r="M68" s="22" t="inlineStr"/>
      <c r="N68" s="22" t="inlineStr"/>
      <c r="O68" s="22" t="inlineStr"/>
      <c r="P68" s="22" t="inlineStr"/>
      <c r="Q68" s="19" t="inlineStr"/>
    </row>
    <row r="69" ht="17" customHeight="1">
      <c r="A69" s="22" t="inlineStr"/>
      <c r="B69" s="19" t="inlineStr">
        <is>
          <t>SIDE_T2</t>
        </is>
      </c>
      <c r="C69" s="19" t="inlineStr">
        <is>
          <t>MADLN05BE</t>
        </is>
      </c>
      <c r="D69" s="20">
        <f>IFERROR(VLOOKUP(C69,파나소닉A6규격!$A:$C,2,FALSE),IFERROR(VLOOKUP(C69,파스텍EziServo규격!$A:$C,1,FALSE),""))</f>
        <v/>
      </c>
      <c r="E69" s="21">
        <f>IFERROR(VLOOKUP(C69,파나소닉A6규격!$A:$C,3,FALSE),IFERROR(VLOOKUP(C69,파스텍EziServo규격!$A:$C,3,FALSE),""))</f>
        <v/>
      </c>
      <c r="F69" s="22" t="n">
        <v>1</v>
      </c>
      <c r="G69" s="22" t="n">
        <v>0</v>
      </c>
      <c r="H69" s="22" t="n">
        <v>0</v>
      </c>
      <c r="I69" s="22" t="n">
        <v>1</v>
      </c>
      <c r="J69" s="22">
        <f>IFERROR(E69*0.9,"")</f>
        <v/>
      </c>
      <c r="K69" s="22" t="inlineStr">
        <is>
          <t>●</t>
        </is>
      </c>
      <c r="L69" s="22" t="inlineStr"/>
      <c r="M69" s="22" t="inlineStr"/>
      <c r="N69" s="22" t="inlineStr"/>
      <c r="O69" s="22" t="inlineStr"/>
      <c r="P69" s="22" t="inlineStr"/>
      <c r="Q69" s="19" t="inlineStr">
        <is>
          <t>50W</t>
        </is>
      </c>
    </row>
    <row r="70" ht="17" customHeight="1">
      <c r="A70" s="22" t="inlineStr"/>
      <c r="B70" s="19" t="inlineStr">
        <is>
          <t>SIDE_X3</t>
        </is>
      </c>
      <c r="C70" s="19" t="inlineStr">
        <is>
          <t>MADLN05BE</t>
        </is>
      </c>
      <c r="D70" s="20">
        <f>IFERROR(VLOOKUP(C70,파나소닉A6규격!$A:$C,2,FALSE),IFERROR(VLOOKUP(C70,파스텍EziServo규격!$A:$C,1,FALSE),""))</f>
        <v/>
      </c>
      <c r="E70" s="21">
        <f>IFERROR(VLOOKUP(C70,파나소닉A6규격!$A:$C,3,FALSE),IFERROR(VLOOKUP(C70,파스텍EziServo규격!$A:$C,3,FALSE),""))</f>
        <v/>
      </c>
      <c r="F70" s="22" t="n">
        <v>1</v>
      </c>
      <c r="G70" s="22" t="n">
        <v>1</v>
      </c>
      <c r="H70" s="22" t="n">
        <v>0</v>
      </c>
      <c r="I70" s="22" t="n">
        <v>0</v>
      </c>
      <c r="J70" s="22">
        <f>IFERROR(E70*0.9,"")</f>
        <v/>
      </c>
      <c r="K70" s="22" t="inlineStr">
        <is>
          <t>●</t>
        </is>
      </c>
      <c r="L70" s="22" t="inlineStr"/>
      <c r="M70" s="22" t="inlineStr"/>
      <c r="N70" s="22" t="inlineStr"/>
      <c r="O70" s="22" t="inlineStr"/>
      <c r="P70" s="22" t="inlineStr"/>
      <c r="Q70" s="19" t="inlineStr"/>
    </row>
    <row r="71" ht="17" customHeight="1">
      <c r="A71" s="22" t="inlineStr"/>
      <c r="B71" s="19" t="inlineStr">
        <is>
          <t>SIDE_Y3</t>
        </is>
      </c>
      <c r="C71" s="19" t="inlineStr">
        <is>
          <t>MADLN15BE</t>
        </is>
      </c>
      <c r="D71" s="20">
        <f>IFERROR(VLOOKUP(C71,파나소닉A6규격!$A:$C,2,FALSE),IFERROR(VLOOKUP(C71,파스텍EziServo규격!$A:$C,1,FALSE),""))</f>
        <v/>
      </c>
      <c r="E71" s="21">
        <f>IFERROR(VLOOKUP(C71,파나소닉A6규격!$A:$C,3,FALSE),IFERROR(VLOOKUP(C71,파스텍EziServo규격!$A:$C,3,FALSE),""))</f>
        <v/>
      </c>
      <c r="F71" s="22" t="n">
        <v>1</v>
      </c>
      <c r="G71" s="22" t="n">
        <v>0</v>
      </c>
      <c r="H71" s="22" t="n">
        <v>1</v>
      </c>
      <c r="I71" s="22" t="n">
        <v>0</v>
      </c>
      <c r="J71" s="22">
        <f>IFERROR(E71*0.9,"")</f>
        <v/>
      </c>
      <c r="K71" s="22" t="inlineStr">
        <is>
          <t>●</t>
        </is>
      </c>
      <c r="L71" s="22" t="inlineStr"/>
      <c r="M71" s="22" t="inlineStr"/>
      <c r="N71" s="22" t="inlineStr"/>
      <c r="O71" s="22" t="inlineStr"/>
      <c r="P71" s="22" t="inlineStr"/>
      <c r="Q71" s="19" t="inlineStr"/>
    </row>
    <row r="72" ht="17" customHeight="1">
      <c r="A72" s="22" t="inlineStr"/>
      <c r="B72" s="19" t="inlineStr">
        <is>
          <t>SIDE_T3</t>
        </is>
      </c>
      <c r="C72" s="19" t="inlineStr">
        <is>
          <t>MADLN05BE</t>
        </is>
      </c>
      <c r="D72" s="20">
        <f>IFERROR(VLOOKUP(C72,파나소닉A6규격!$A:$C,2,FALSE),IFERROR(VLOOKUP(C72,파스텍EziServo규격!$A:$C,1,FALSE),""))</f>
        <v/>
      </c>
      <c r="E72" s="21">
        <f>IFERROR(VLOOKUP(C72,파나소닉A6규격!$A:$C,3,FALSE),IFERROR(VLOOKUP(C72,파스텍EziServo규격!$A:$C,3,FALSE),""))</f>
        <v/>
      </c>
      <c r="F72" s="22" t="n">
        <v>1</v>
      </c>
      <c r="G72" s="22" t="n">
        <v>0</v>
      </c>
      <c r="H72" s="22" t="n">
        <v>0</v>
      </c>
      <c r="I72" s="22" t="n">
        <v>1</v>
      </c>
      <c r="J72" s="22">
        <f>IFERROR(E72*0.9,"")</f>
        <v/>
      </c>
      <c r="K72" s="22" t="inlineStr">
        <is>
          <t>●</t>
        </is>
      </c>
      <c r="L72" s="22" t="inlineStr"/>
      <c r="M72" s="22" t="inlineStr"/>
      <c r="N72" s="22" t="inlineStr"/>
      <c r="O72" s="22" t="inlineStr"/>
      <c r="P72" s="22" t="inlineStr"/>
      <c r="Q72" s="19" t="inlineStr">
        <is>
          <t>50W</t>
        </is>
      </c>
    </row>
    <row r="73" ht="17" customHeight="1">
      <c r="A73" s="22" t="inlineStr"/>
      <c r="B73" s="19" t="inlineStr">
        <is>
          <t>LO_EV</t>
        </is>
      </c>
      <c r="C73" s="19" t="inlineStr">
        <is>
          <t>MCDLN35BE</t>
        </is>
      </c>
      <c r="D73" s="20">
        <f>IFERROR(VLOOKUP(C73,파나소닉A6규격!$A:$C,2,FALSE),IFERROR(VLOOKUP(C73,파스텍EziServo규격!$A:$C,1,FALSE),""))</f>
        <v/>
      </c>
      <c r="E73" s="21">
        <f>IFERROR(VLOOKUP(C73,파나소닉A6규격!$A:$C,3,FALSE),IFERROR(VLOOKUP(C73,파스텍EziServo규격!$A:$C,3,FALSE),""))</f>
        <v/>
      </c>
      <c r="F73" s="22" t="n">
        <v>1</v>
      </c>
      <c r="G73" s="22" t="n">
        <v>1</v>
      </c>
      <c r="H73" s="22" t="n">
        <v>0</v>
      </c>
      <c r="I73" s="22" t="n">
        <v>0</v>
      </c>
      <c r="J73" s="22">
        <f>IFERROR(E73*0.9,"")</f>
        <v/>
      </c>
      <c r="K73" s="22" t="inlineStr">
        <is>
          <t>●</t>
        </is>
      </c>
      <c r="L73" s="22" t="inlineStr"/>
      <c r="M73" s="22" t="inlineStr"/>
      <c r="N73" s="22" t="inlineStr"/>
      <c r="O73" s="22" t="inlineStr"/>
      <c r="P73" s="22" t="inlineStr"/>
      <c r="Q73" s="19" t="inlineStr">
        <is>
          <t>800W 서보</t>
        </is>
      </c>
    </row>
    <row r="74" ht="17" customHeight="1">
      <c r="A74" s="22" t="inlineStr"/>
      <c r="B74" s="19" t="inlineStr">
        <is>
          <t>LO_FD</t>
        </is>
      </c>
      <c r="C74" s="19" t="inlineStr">
        <is>
          <t>MADLN05BE</t>
        </is>
      </c>
      <c r="D74" s="20">
        <f>IFERROR(VLOOKUP(C74,파나소닉A6규격!$A:$C,2,FALSE),IFERROR(VLOOKUP(C74,파스텍EziServo규격!$A:$C,1,FALSE),""))</f>
        <v/>
      </c>
      <c r="E74" s="21">
        <f>IFERROR(VLOOKUP(C74,파나소닉A6규격!$A:$C,3,FALSE),IFERROR(VLOOKUP(C74,파스텍EziServo규격!$A:$C,3,FALSE),""))</f>
        <v/>
      </c>
      <c r="F74" s="22" t="n">
        <v>1</v>
      </c>
      <c r="G74" s="22" t="n">
        <v>0</v>
      </c>
      <c r="H74" s="22" t="n">
        <v>1</v>
      </c>
      <c r="I74" s="22" t="n">
        <v>0</v>
      </c>
      <c r="J74" s="22">
        <f>IFERROR(E74*0.9,"")</f>
        <v/>
      </c>
      <c r="K74" s="22" t="inlineStr">
        <is>
          <t>●</t>
        </is>
      </c>
      <c r="L74" s="22" t="inlineStr"/>
      <c r="M74" s="22" t="inlineStr"/>
      <c r="N74" s="22" t="inlineStr"/>
      <c r="O74" s="22" t="inlineStr"/>
      <c r="P74" s="22" t="inlineStr"/>
      <c r="Q74" s="19" t="inlineStr"/>
    </row>
    <row r="75" ht="17" customHeight="1">
      <c r="A75" s="22" t="inlineStr"/>
      <c r="B75" s="19" t="inlineStr">
        <is>
          <t>LO_FD_Z</t>
        </is>
      </c>
      <c r="C75" s="19" t="inlineStr">
        <is>
          <t>MBDLN25BE</t>
        </is>
      </c>
      <c r="D75" s="20">
        <f>IFERROR(VLOOKUP(C75,파나소닉A6규격!$A:$C,2,FALSE),IFERROR(VLOOKUP(C75,파스텍EziServo규격!$A:$C,1,FALSE),""))</f>
        <v/>
      </c>
      <c r="E75" s="21">
        <f>IFERROR(VLOOKUP(C75,파나소닉A6규격!$A:$C,3,FALSE),IFERROR(VLOOKUP(C75,파스텍EziServo규격!$A:$C,3,FALSE),""))</f>
        <v/>
      </c>
      <c r="F75" s="22" t="n">
        <v>1</v>
      </c>
      <c r="G75" s="22" t="n">
        <v>0</v>
      </c>
      <c r="H75" s="22" t="n">
        <v>0</v>
      </c>
      <c r="I75" s="22" t="n">
        <v>1</v>
      </c>
      <c r="J75" s="22">
        <f>IFERROR(E75*0.9,"")</f>
        <v/>
      </c>
      <c r="K75" s="22" t="inlineStr">
        <is>
          <t>●</t>
        </is>
      </c>
      <c r="L75" s="22" t="inlineStr"/>
      <c r="M75" s="22" t="inlineStr"/>
      <c r="N75" s="22" t="inlineStr"/>
      <c r="O75" s="22" t="inlineStr"/>
      <c r="P75" s="22" t="inlineStr"/>
      <c r="Q75" s="19" t="inlineStr"/>
    </row>
    <row r="76" ht="17" customHeight="1">
      <c r="A76" s="22" t="inlineStr"/>
      <c r="B76" s="19" t="inlineStr">
        <is>
          <t>LO_FD_ALIGN</t>
        </is>
      </c>
      <c r="C76" s="19" t="inlineStr">
        <is>
          <t>MADLN05BE</t>
        </is>
      </c>
      <c r="D76" s="20">
        <f>IFERROR(VLOOKUP(C76,파나소닉A6규격!$A:$C,2,FALSE),IFERROR(VLOOKUP(C76,파스텍EziServo규격!$A:$C,1,FALSE),""))</f>
        <v/>
      </c>
      <c r="E76" s="21">
        <f>IFERROR(VLOOKUP(C76,파나소닉A6규격!$A:$C,3,FALSE),IFERROR(VLOOKUP(C76,파스텍EziServo규격!$A:$C,3,FALSE),""))</f>
        <v/>
      </c>
      <c r="F76" s="22" t="n">
        <v>1</v>
      </c>
      <c r="G76" s="22" t="n">
        <v>1</v>
      </c>
      <c r="H76" s="22" t="n">
        <v>0</v>
      </c>
      <c r="I76" s="22" t="n">
        <v>0</v>
      </c>
      <c r="J76" s="22">
        <f>IFERROR(E76*0.9,"")</f>
        <v/>
      </c>
      <c r="K76" s="22" t="inlineStr">
        <is>
          <t>●</t>
        </is>
      </c>
      <c r="L76" s="22" t="inlineStr"/>
      <c r="M76" s="22" t="inlineStr"/>
      <c r="N76" s="22" t="inlineStr"/>
      <c r="O76" s="22" t="inlineStr"/>
      <c r="P76" s="22" t="inlineStr"/>
      <c r="Q76" s="19" t="inlineStr"/>
    </row>
    <row r="77" ht="17" customHeight="1">
      <c r="A77" s="22" t="inlineStr"/>
      <c r="B77" s="19" t="inlineStr">
        <is>
          <t>LO_FD_INDEX</t>
        </is>
      </c>
      <c r="C77" s="19" t="inlineStr">
        <is>
          <t>MBDLN25BE</t>
        </is>
      </c>
      <c r="D77" s="20">
        <f>IFERROR(VLOOKUP(C77,파나소닉A6규격!$A:$C,2,FALSE),IFERROR(VLOOKUP(C77,파스텍EziServo규격!$A:$C,1,FALSE),""))</f>
        <v/>
      </c>
      <c r="E77" s="21">
        <f>IFERROR(VLOOKUP(C77,파나소닉A6규격!$A:$C,3,FALSE),IFERROR(VLOOKUP(C77,파스텍EziServo규격!$A:$C,3,FALSE),""))</f>
        <v/>
      </c>
      <c r="F77" s="22" t="n">
        <v>1</v>
      </c>
      <c r="G77" s="22" t="n">
        <v>0</v>
      </c>
      <c r="H77" s="22" t="n">
        <v>1</v>
      </c>
      <c r="I77" s="22" t="n">
        <v>0</v>
      </c>
      <c r="J77" s="22">
        <f>IFERROR(E77*0.9,"")</f>
        <v/>
      </c>
      <c r="K77" s="22" t="inlineStr">
        <is>
          <t>●</t>
        </is>
      </c>
      <c r="L77" s="22" t="inlineStr"/>
      <c r="M77" s="22" t="inlineStr"/>
      <c r="N77" s="22" t="inlineStr"/>
      <c r="O77" s="22" t="inlineStr"/>
      <c r="P77" s="22" t="inlineStr"/>
      <c r="Q77" s="19" t="inlineStr"/>
    </row>
    <row r="78" ht="17" customHeight="1">
      <c r="A78" s="23" t="inlineStr">
        <is>
          <t xml:space="preserve">  판넬3 AC 소계 소계</t>
        </is>
      </c>
      <c r="D78" s="24" t="n"/>
      <c r="E78" s="25">
        <f>SUM(E57:E77)</f>
        <v/>
      </c>
      <c r="F78" s="24" t="n"/>
      <c r="G78" s="24" t="n"/>
      <c r="H78" s="24" t="n"/>
      <c r="I78" s="24" t="n"/>
      <c r="J78" s="25">
        <f>SUM(J57:J77)</f>
        <v/>
      </c>
      <c r="K78" s="24" t="n"/>
      <c r="L78" s="24" t="n"/>
      <c r="M78" s="24" t="n"/>
      <c r="N78" s="24" t="n"/>
      <c r="O78" s="26">
        <f>CEILING(E78*1.25,5)</f>
        <v/>
      </c>
      <c r="P78" s="24" t="n"/>
      <c r="Q78" s="27" t="inlineStr">
        <is>
          <t>E×1.25→CEILING 5A 단위</t>
        </is>
      </c>
    </row>
    <row r="80" ht="16" customHeight="1">
      <c r="A80" s="28" t="inlineStr">
        <is>
          <t>■ 판넬3 — EziServo/EziSpeed (DC 24V)</t>
        </is>
      </c>
    </row>
    <row r="81" ht="17" customHeight="1">
      <c r="A81" s="29" t="inlineStr"/>
      <c r="B81" s="30" t="inlineStr">
        <is>
          <t>LO_EV_CONV</t>
        </is>
      </c>
      <c r="C81" s="30" t="inlineStr">
        <is>
          <t>EZI-SPEED60H30CR100P</t>
        </is>
      </c>
      <c r="D81" s="31">
        <f>IFERROR(VLOOKUP(C81,파나소닉A6규격!$A:$C,2,FALSE),IFERROR(VLOOKUP(C81,파스텍EziServo규격!$A:$C,1,FALSE),""))</f>
        <v/>
      </c>
      <c r="E81" s="21">
        <f>IFERROR(VLOOKUP(C81,파나소닉A6규격!$A:$C,3,FALSE),IFERROR(VLOOKUP(C81,파스텍EziServo규격!$A:$C,3,FALSE),""))</f>
        <v/>
      </c>
      <c r="F81" s="29" t="n">
        <v>1</v>
      </c>
      <c r="G81" s="29" t="n">
        <v>0</v>
      </c>
      <c r="H81" s="29" t="n">
        <v>0</v>
      </c>
      <c r="I81" s="29" t="n">
        <v>0</v>
      </c>
      <c r="J81" s="29">
        <f>IFERROR(E81*0.9,"")</f>
        <v/>
      </c>
      <c r="K81" s="29" t="inlineStr"/>
      <c r="L81" s="29" t="inlineStr">
        <is>
          <t>●</t>
        </is>
      </c>
      <c r="M81" s="29" t="inlineStr"/>
      <c r="N81" s="29" t="inlineStr"/>
      <c r="O81" s="29" t="inlineStr"/>
      <c r="P81" s="29" t="inlineStr"/>
      <c r="Q81" s="30" t="inlineStr">
        <is>
          <t>컨베이어 EziSpeed (DC24V)</t>
        </is>
      </c>
    </row>
    <row r="82" ht="17" customHeight="1">
      <c r="A82" s="29" t="inlineStr"/>
      <c r="B82" s="30" t="inlineStr">
        <is>
          <t>ULO_EV_CONV</t>
        </is>
      </c>
      <c r="C82" s="30" t="inlineStr">
        <is>
          <t>EZI-SPEED60H30CR100P</t>
        </is>
      </c>
      <c r="D82" s="31">
        <f>IFERROR(VLOOKUP(C82,파나소닉A6규격!$A:$C,2,FALSE),IFERROR(VLOOKUP(C82,파스텍EziServo규격!$A:$C,1,FALSE),""))</f>
        <v/>
      </c>
      <c r="E82" s="21">
        <f>IFERROR(VLOOKUP(C82,파나소닉A6규격!$A:$C,3,FALSE),IFERROR(VLOOKUP(C82,파스텍EziServo규격!$A:$C,3,FALSE),""))</f>
        <v/>
      </c>
      <c r="F82" s="29" t="n">
        <v>1</v>
      </c>
      <c r="G82" s="29" t="n">
        <v>0</v>
      </c>
      <c r="H82" s="29" t="n">
        <v>0</v>
      </c>
      <c r="I82" s="29" t="n">
        <v>0</v>
      </c>
      <c r="J82" s="29">
        <f>IFERROR(E82*0.9,"")</f>
        <v/>
      </c>
      <c r="K82" s="29" t="inlineStr"/>
      <c r="L82" s="29" t="inlineStr">
        <is>
          <t>●</t>
        </is>
      </c>
      <c r="M82" s="29" t="inlineStr"/>
      <c r="N82" s="29" t="inlineStr"/>
      <c r="O82" s="29" t="inlineStr"/>
      <c r="P82" s="29" t="inlineStr"/>
      <c r="Q82" s="30" t="inlineStr"/>
    </row>
    <row r="83" ht="17" customHeight="1">
      <c r="A83" s="29" t="inlineStr"/>
      <c r="B83" s="30" t="inlineStr">
        <is>
          <t>NG_EV_LO_CONV</t>
        </is>
      </c>
      <c r="C83" s="30" t="inlineStr">
        <is>
          <t>EZI-SPEED60H30CR100P</t>
        </is>
      </c>
      <c r="D83" s="31">
        <f>IFERROR(VLOOKUP(C83,파나소닉A6규격!$A:$C,2,FALSE),IFERROR(VLOOKUP(C83,파스텍EziServo규격!$A:$C,1,FALSE),""))</f>
        <v/>
      </c>
      <c r="E83" s="21">
        <f>IFERROR(VLOOKUP(C83,파나소닉A6규격!$A:$C,3,FALSE),IFERROR(VLOOKUP(C83,파스텍EziServo규격!$A:$C,3,FALSE),""))</f>
        <v/>
      </c>
      <c r="F83" s="29" t="n">
        <v>1</v>
      </c>
      <c r="G83" s="29" t="n">
        <v>0</v>
      </c>
      <c r="H83" s="29" t="n">
        <v>0</v>
      </c>
      <c r="I83" s="29" t="n">
        <v>0</v>
      </c>
      <c r="J83" s="29">
        <f>IFERROR(E83*0.9,"")</f>
        <v/>
      </c>
      <c r="K83" s="29" t="inlineStr"/>
      <c r="L83" s="29" t="inlineStr">
        <is>
          <t>●</t>
        </is>
      </c>
      <c r="M83" s="29" t="inlineStr"/>
      <c r="N83" s="29" t="inlineStr"/>
      <c r="O83" s="29" t="inlineStr"/>
      <c r="P83" s="29" t="inlineStr"/>
      <c r="Q83" s="30" t="inlineStr"/>
    </row>
    <row r="84" ht="17" customHeight="1">
      <c r="A84" s="29" t="inlineStr"/>
      <c r="B84" s="30" t="inlineStr">
        <is>
          <t>NG_EV_ULO_CONV</t>
        </is>
      </c>
      <c r="C84" s="30" t="inlineStr">
        <is>
          <t>EZI-SPEED60H30CR100P</t>
        </is>
      </c>
      <c r="D84" s="31">
        <f>IFERROR(VLOOKUP(C84,파나소닉A6규격!$A:$C,2,FALSE),IFERROR(VLOOKUP(C84,파스텍EziServo규격!$A:$C,1,FALSE),""))</f>
        <v/>
      </c>
      <c r="E84" s="21">
        <f>IFERROR(VLOOKUP(C84,파나소닉A6규격!$A:$C,3,FALSE),IFERROR(VLOOKUP(C84,파스텍EziServo규격!$A:$C,3,FALSE),""))</f>
        <v/>
      </c>
      <c r="F84" s="29" t="n">
        <v>1</v>
      </c>
      <c r="G84" s="29" t="n">
        <v>0</v>
      </c>
      <c r="H84" s="29" t="n">
        <v>0</v>
      </c>
      <c r="I84" s="29" t="n">
        <v>0</v>
      </c>
      <c r="J84" s="29">
        <f>IFERROR(E84*0.9,"")</f>
        <v/>
      </c>
      <c r="K84" s="29" t="inlineStr"/>
      <c r="L84" s="29" t="inlineStr">
        <is>
          <t>●</t>
        </is>
      </c>
      <c r="M84" s="29" t="inlineStr"/>
      <c r="N84" s="29" t="inlineStr"/>
      <c r="O84" s="29" t="inlineStr"/>
      <c r="P84" s="29" t="inlineStr"/>
      <c r="Q84" s="30" t="inlineStr"/>
    </row>
    <row r="85" ht="17" customHeight="1">
      <c r="A85" s="29" t="inlineStr"/>
      <c r="B85" s="30" t="inlineStr">
        <is>
          <t>GOOD_EV_LO_CONV</t>
        </is>
      </c>
      <c r="C85" s="30" t="inlineStr">
        <is>
          <t>EZI-SPEED60H30CR100P</t>
        </is>
      </c>
      <c r="D85" s="31">
        <f>IFERROR(VLOOKUP(C85,파나소닉A6규격!$A:$C,2,FALSE),IFERROR(VLOOKUP(C85,파스텍EziServo규격!$A:$C,1,FALSE),""))</f>
        <v/>
      </c>
      <c r="E85" s="21">
        <f>IFERROR(VLOOKUP(C85,파나소닉A6규격!$A:$C,3,FALSE),IFERROR(VLOOKUP(C85,파스텍EziServo규격!$A:$C,3,FALSE),""))</f>
        <v/>
      </c>
      <c r="F85" s="29" t="n">
        <v>1</v>
      </c>
      <c r="G85" s="29" t="n">
        <v>0</v>
      </c>
      <c r="H85" s="29" t="n">
        <v>0</v>
      </c>
      <c r="I85" s="29" t="n">
        <v>0</v>
      </c>
      <c r="J85" s="29">
        <f>IFERROR(E85*0.9,"")</f>
        <v/>
      </c>
      <c r="K85" s="29" t="inlineStr"/>
      <c r="L85" s="29" t="inlineStr">
        <is>
          <t>●</t>
        </is>
      </c>
      <c r="M85" s="29" t="inlineStr"/>
      <c r="N85" s="29" t="inlineStr"/>
      <c r="O85" s="29" t="inlineStr"/>
      <c r="P85" s="29" t="inlineStr"/>
      <c r="Q85" s="30" t="inlineStr"/>
    </row>
    <row r="86" ht="17" customHeight="1">
      <c r="A86" s="29" t="inlineStr"/>
      <c r="B86" s="30" t="inlineStr">
        <is>
          <t>GOOD_EV_ULO_CONV</t>
        </is>
      </c>
      <c r="C86" s="30" t="inlineStr">
        <is>
          <t>EZI-SPEED60H30CR100P</t>
        </is>
      </c>
      <c r="D86" s="31">
        <f>IFERROR(VLOOKUP(C86,파나소닉A6규격!$A:$C,2,FALSE),IFERROR(VLOOKUP(C86,파스텍EziServo규격!$A:$C,1,FALSE),""))</f>
        <v/>
      </c>
      <c r="E86" s="21">
        <f>IFERROR(VLOOKUP(C86,파나소닉A6규격!$A:$C,3,FALSE),IFERROR(VLOOKUP(C86,파스텍EziServo규격!$A:$C,3,FALSE),""))</f>
        <v/>
      </c>
      <c r="F86" s="29" t="n">
        <v>1</v>
      </c>
      <c r="G86" s="29" t="n">
        <v>0</v>
      </c>
      <c r="H86" s="29" t="n">
        <v>0</v>
      </c>
      <c r="I86" s="29" t="n">
        <v>0</v>
      </c>
      <c r="J86" s="29">
        <f>IFERROR(E86*0.9,"")</f>
        <v/>
      </c>
      <c r="K86" s="29" t="inlineStr"/>
      <c r="L86" s="29" t="inlineStr">
        <is>
          <t>●</t>
        </is>
      </c>
      <c r="M86" s="29" t="inlineStr"/>
      <c r="N86" s="29" t="inlineStr"/>
      <c r="O86" s="29" t="inlineStr"/>
      <c r="P86" s="29" t="inlineStr"/>
      <c r="Q86" s="30" t="inlineStr"/>
    </row>
    <row r="87" ht="17" customHeight="1">
      <c r="A87" s="23" t="inlineStr">
        <is>
          <t xml:space="preserve">  판넬3 EziServo 소계 소계</t>
        </is>
      </c>
      <c r="D87" s="24" t="n"/>
      <c r="E87" s="25">
        <f>SUM(E81:E86)</f>
        <v/>
      </c>
      <c r="F87" s="24" t="n"/>
      <c r="G87" s="24" t="n"/>
      <c r="H87" s="24" t="n"/>
      <c r="I87" s="24" t="n"/>
      <c r="J87" s="25">
        <f>SUM(J81:J86)</f>
        <v/>
      </c>
      <c r="K87" s="24" t="n"/>
      <c r="L87" s="24" t="n"/>
      <c r="M87" s="24" t="n"/>
      <c r="N87" s="24" t="n"/>
      <c r="O87" s="26">
        <f>CEILING(E87*1.25,5)</f>
        <v/>
      </c>
      <c r="P87" s="24" t="n"/>
      <c r="Q87" s="27" t="inlineStr">
        <is>
          <t>E×1.25→CEILING 5A 단위</t>
        </is>
      </c>
    </row>
    <row r="89" ht="16" customHeight="1">
      <c r="A89" s="17" t="inlineStr">
        <is>
          <t>■ 판넬4 — 파나소닉 A6 서보드라이버 (AC200V)</t>
        </is>
      </c>
    </row>
    <row r="90" ht="17" customHeight="1">
      <c r="A90" s="18" t="inlineStr">
        <is>
          <t>판넬4</t>
        </is>
      </c>
      <c r="B90" s="19" t="inlineStr">
        <is>
          <t>TOP_MAC_Y</t>
        </is>
      </c>
      <c r="C90" s="19" t="inlineStr">
        <is>
          <t>MADLN15BE</t>
        </is>
      </c>
      <c r="D90" s="20">
        <f>IFERROR(VLOOKUP(C90,파나소닉A6규격!$A:$C,2,FALSE),IFERROR(VLOOKUP(C90,파스텍EziServo규격!$A:$C,1,FALSE),""))</f>
        <v/>
      </c>
      <c r="E90" s="21">
        <f>IFERROR(VLOOKUP(C90,파나소닉A6규격!$A:$C,3,FALSE),IFERROR(VLOOKUP(C90,파스텍EziServo규격!$A:$C,3,FALSE),""))</f>
        <v/>
      </c>
      <c r="F90" s="22" t="n">
        <v>1</v>
      </c>
      <c r="G90" s="22" t="n">
        <v>0</v>
      </c>
      <c r="H90" s="22" t="n">
        <v>1</v>
      </c>
      <c r="I90" s="22" t="n">
        <v>0</v>
      </c>
      <c r="J90" s="22">
        <f>IFERROR(E90*0.9,"")</f>
        <v/>
      </c>
      <c r="K90" s="22" t="inlineStr">
        <is>
          <t>●</t>
        </is>
      </c>
      <c r="L90" s="22" t="inlineStr"/>
      <c r="M90" s="22" t="inlineStr"/>
      <c r="N90" s="22" t="inlineStr"/>
      <c r="O90" s="22" t="inlineStr"/>
      <c r="P90" s="22" t="inlineStr"/>
      <c r="Q90" s="19" t="inlineStr"/>
    </row>
    <row r="91" ht="17" customHeight="1">
      <c r="A91" s="22" t="inlineStr"/>
      <c r="B91" s="19" t="inlineStr">
        <is>
          <t>TOP_MAC_X</t>
        </is>
      </c>
      <c r="C91" s="19" t="inlineStr">
        <is>
          <t>MADLN15BE</t>
        </is>
      </c>
      <c r="D91" s="20">
        <f>IFERROR(VLOOKUP(C91,파나소닉A6규격!$A:$C,2,FALSE),IFERROR(VLOOKUP(C91,파스텍EziServo규격!$A:$C,1,FALSE),""))</f>
        <v/>
      </c>
      <c r="E91" s="21">
        <f>IFERROR(VLOOKUP(C91,파나소닉A6규격!$A:$C,3,FALSE),IFERROR(VLOOKUP(C91,파스텍EziServo규격!$A:$C,3,FALSE),""))</f>
        <v/>
      </c>
      <c r="F91" s="22" t="n">
        <v>1</v>
      </c>
      <c r="G91" s="22" t="n">
        <v>0</v>
      </c>
      <c r="H91" s="22" t="n">
        <v>0</v>
      </c>
      <c r="I91" s="22" t="n">
        <v>1</v>
      </c>
      <c r="J91" s="22">
        <f>IFERROR(E91*0.9,"")</f>
        <v/>
      </c>
      <c r="K91" s="22" t="inlineStr">
        <is>
          <t>●</t>
        </is>
      </c>
      <c r="L91" s="22" t="inlineStr"/>
      <c r="M91" s="22" t="inlineStr"/>
      <c r="N91" s="22" t="inlineStr"/>
      <c r="O91" s="22" t="inlineStr"/>
      <c r="P91" s="22" t="inlineStr"/>
      <c r="Q91" s="19" t="inlineStr"/>
    </row>
    <row r="92" ht="17" customHeight="1">
      <c r="A92" s="22" t="inlineStr"/>
      <c r="B92" s="19" t="inlineStr">
        <is>
          <t>TOP_MAC_Z</t>
        </is>
      </c>
      <c r="C92" s="19" t="inlineStr">
        <is>
          <t>MADLN05BE</t>
        </is>
      </c>
      <c r="D92" s="20">
        <f>IFERROR(VLOOKUP(C92,파나소닉A6규격!$A:$C,2,FALSE),IFERROR(VLOOKUP(C92,파스텍EziServo규격!$A:$C,1,FALSE),""))</f>
        <v/>
      </c>
      <c r="E92" s="21">
        <f>IFERROR(VLOOKUP(C92,파나소닉A6규격!$A:$C,3,FALSE),IFERROR(VLOOKUP(C92,파스텍EziServo규격!$A:$C,3,FALSE),""))</f>
        <v/>
      </c>
      <c r="F92" s="22" t="n">
        <v>1</v>
      </c>
      <c r="G92" s="22" t="n">
        <v>1</v>
      </c>
      <c r="H92" s="22" t="n">
        <v>0</v>
      </c>
      <c r="I92" s="22" t="n">
        <v>0</v>
      </c>
      <c r="J92" s="22">
        <f>IFERROR(E92*0.9,"")</f>
        <v/>
      </c>
      <c r="K92" s="22" t="inlineStr">
        <is>
          <t>●</t>
        </is>
      </c>
      <c r="L92" s="22" t="inlineStr"/>
      <c r="M92" s="22" t="inlineStr"/>
      <c r="N92" s="22" t="inlineStr"/>
      <c r="O92" s="22" t="inlineStr"/>
      <c r="P92" s="22" t="inlineStr"/>
      <c r="Q92" s="19" t="inlineStr"/>
    </row>
    <row r="93" ht="17" customHeight="1">
      <c r="A93" s="22" t="inlineStr"/>
      <c r="B93" s="19" t="inlineStr">
        <is>
          <t>TOP_MIC_Y</t>
        </is>
      </c>
      <c r="C93" s="19" t="inlineStr">
        <is>
          <t>MADLN15BE</t>
        </is>
      </c>
      <c r="D93" s="20">
        <f>IFERROR(VLOOKUP(C93,파나소닉A6규격!$A:$C,2,FALSE),IFERROR(VLOOKUP(C93,파스텍EziServo규격!$A:$C,1,FALSE),""))</f>
        <v/>
      </c>
      <c r="E93" s="21">
        <f>IFERROR(VLOOKUP(C93,파나소닉A6규격!$A:$C,3,FALSE),IFERROR(VLOOKUP(C93,파스텍EziServo규격!$A:$C,3,FALSE),""))</f>
        <v/>
      </c>
      <c r="F93" s="22" t="n">
        <v>1</v>
      </c>
      <c r="G93" s="22" t="n">
        <v>0</v>
      </c>
      <c r="H93" s="22" t="n">
        <v>1</v>
      </c>
      <c r="I93" s="22" t="n">
        <v>0</v>
      </c>
      <c r="J93" s="22">
        <f>IFERROR(E93*0.9,"")</f>
        <v/>
      </c>
      <c r="K93" s="22" t="inlineStr">
        <is>
          <t>●</t>
        </is>
      </c>
      <c r="L93" s="22" t="inlineStr"/>
      <c r="M93" s="22" t="inlineStr"/>
      <c r="N93" s="22" t="inlineStr"/>
      <c r="O93" s="22" t="inlineStr"/>
      <c r="P93" s="22" t="inlineStr"/>
      <c r="Q93" s="19" t="inlineStr"/>
    </row>
    <row r="94" ht="17" customHeight="1">
      <c r="A94" s="22" t="inlineStr"/>
      <c r="B94" s="19" t="inlineStr">
        <is>
          <t>TOP_MIC_X</t>
        </is>
      </c>
      <c r="C94" s="19" t="inlineStr">
        <is>
          <t>MADLN15BE</t>
        </is>
      </c>
      <c r="D94" s="20">
        <f>IFERROR(VLOOKUP(C94,파나소닉A6규격!$A:$C,2,FALSE),IFERROR(VLOOKUP(C94,파스텍EziServo규격!$A:$C,1,FALSE),""))</f>
        <v/>
      </c>
      <c r="E94" s="21">
        <f>IFERROR(VLOOKUP(C94,파나소닉A6규격!$A:$C,3,FALSE),IFERROR(VLOOKUP(C94,파스텍EziServo규격!$A:$C,3,FALSE),""))</f>
        <v/>
      </c>
      <c r="F94" s="22" t="n">
        <v>1</v>
      </c>
      <c r="G94" s="22" t="n">
        <v>0</v>
      </c>
      <c r="H94" s="22" t="n">
        <v>0</v>
      </c>
      <c r="I94" s="22" t="n">
        <v>1</v>
      </c>
      <c r="J94" s="22">
        <f>IFERROR(E94*0.9,"")</f>
        <v/>
      </c>
      <c r="K94" s="22" t="inlineStr">
        <is>
          <t>●</t>
        </is>
      </c>
      <c r="L94" s="22" t="inlineStr"/>
      <c r="M94" s="22" t="inlineStr"/>
      <c r="N94" s="22" t="inlineStr"/>
      <c r="O94" s="22" t="inlineStr"/>
      <c r="P94" s="22" t="inlineStr"/>
      <c r="Q94" s="19" t="inlineStr"/>
    </row>
    <row r="95" ht="17" customHeight="1">
      <c r="A95" s="22" t="inlineStr"/>
      <c r="B95" s="19" t="inlineStr">
        <is>
          <t>TOP_MIC_Z</t>
        </is>
      </c>
      <c r="C95" s="19" t="inlineStr">
        <is>
          <t>MADLN05BE</t>
        </is>
      </c>
      <c r="D95" s="20">
        <f>IFERROR(VLOOKUP(C95,파나소닉A6규격!$A:$C,2,FALSE),IFERROR(VLOOKUP(C95,파스텍EziServo규격!$A:$C,1,FALSE),""))</f>
        <v/>
      </c>
      <c r="E95" s="21">
        <f>IFERROR(VLOOKUP(C95,파나소닉A6규격!$A:$C,3,FALSE),IFERROR(VLOOKUP(C95,파스텍EziServo규격!$A:$C,3,FALSE),""))</f>
        <v/>
      </c>
      <c r="F95" s="22" t="n">
        <v>1</v>
      </c>
      <c r="G95" s="22" t="n">
        <v>1</v>
      </c>
      <c r="H95" s="22" t="n">
        <v>0</v>
      </c>
      <c r="I95" s="22" t="n">
        <v>0</v>
      </c>
      <c r="J95" s="22">
        <f>IFERROR(E95*0.9,"")</f>
        <v/>
      </c>
      <c r="K95" s="22" t="inlineStr">
        <is>
          <t>●</t>
        </is>
      </c>
      <c r="L95" s="22" t="inlineStr"/>
      <c r="M95" s="22" t="inlineStr"/>
      <c r="N95" s="22" t="inlineStr"/>
      <c r="O95" s="22" t="inlineStr"/>
      <c r="P95" s="22" t="inlineStr"/>
      <c r="Q95" s="19" t="inlineStr"/>
    </row>
    <row r="96" ht="17" customHeight="1">
      <c r="A96" s="22" t="inlineStr"/>
      <c r="B96" s="19" t="inlineStr">
        <is>
          <t>INSPEC_CONV1</t>
        </is>
      </c>
      <c r="C96" s="19" t="inlineStr">
        <is>
          <t>MADLN15BE</t>
        </is>
      </c>
      <c r="D96" s="20">
        <f>IFERROR(VLOOKUP(C96,파나소닉A6규격!$A:$C,2,FALSE),IFERROR(VLOOKUP(C96,파스텍EziServo규격!$A:$C,1,FALSE),""))</f>
        <v/>
      </c>
      <c r="E96" s="21">
        <f>IFERROR(VLOOKUP(C96,파나소닉A6규격!$A:$C,3,FALSE),IFERROR(VLOOKUP(C96,파스텍EziServo규격!$A:$C,3,FALSE),""))</f>
        <v/>
      </c>
      <c r="F96" s="22" t="n">
        <v>1</v>
      </c>
      <c r="G96" s="22" t="n">
        <v>0</v>
      </c>
      <c r="H96" s="22" t="n">
        <v>1</v>
      </c>
      <c r="I96" s="22" t="n">
        <v>0</v>
      </c>
      <c r="J96" s="22">
        <f>IFERROR(E96*0.9,"")</f>
        <v/>
      </c>
      <c r="K96" s="22" t="inlineStr">
        <is>
          <t>●</t>
        </is>
      </c>
      <c r="L96" s="22" t="inlineStr"/>
      <c r="M96" s="22" t="inlineStr"/>
      <c r="N96" s="22" t="inlineStr"/>
      <c r="O96" s="22" t="inlineStr"/>
      <c r="P96" s="22" t="inlineStr"/>
      <c r="Q96" s="19" t="inlineStr"/>
    </row>
    <row r="97" ht="17" customHeight="1">
      <c r="A97" s="22" t="inlineStr"/>
      <c r="B97" s="19" t="inlineStr">
        <is>
          <t>INSPEC_CONV2</t>
        </is>
      </c>
      <c r="C97" s="19" t="inlineStr">
        <is>
          <t>MADLN15BE</t>
        </is>
      </c>
      <c r="D97" s="20">
        <f>IFERROR(VLOOKUP(C97,파나소닉A6규격!$A:$C,2,FALSE),IFERROR(VLOOKUP(C97,파스텍EziServo규격!$A:$C,1,FALSE),""))</f>
        <v/>
      </c>
      <c r="E97" s="21">
        <f>IFERROR(VLOOKUP(C97,파나소닉A6규격!$A:$C,3,FALSE),IFERROR(VLOOKUP(C97,파스텍EziServo규격!$A:$C,3,FALSE),""))</f>
        <v/>
      </c>
      <c r="F97" s="22" t="n">
        <v>1</v>
      </c>
      <c r="G97" s="22" t="n">
        <v>0</v>
      </c>
      <c r="H97" s="22" t="n">
        <v>0</v>
      </c>
      <c r="I97" s="22" t="n">
        <v>1</v>
      </c>
      <c r="J97" s="22">
        <f>IFERROR(E97*0.9,"")</f>
        <v/>
      </c>
      <c r="K97" s="22" t="inlineStr">
        <is>
          <t>●</t>
        </is>
      </c>
      <c r="L97" s="22" t="inlineStr"/>
      <c r="M97" s="22" t="inlineStr"/>
      <c r="N97" s="22" t="inlineStr"/>
      <c r="O97" s="22" t="inlineStr"/>
      <c r="P97" s="22" t="inlineStr"/>
      <c r="Q97" s="19" t="inlineStr"/>
    </row>
    <row r="98" ht="17" customHeight="1">
      <c r="A98" s="22" t="inlineStr"/>
      <c r="B98" s="19" t="inlineStr">
        <is>
          <t>JIG_PLATE_CONV1</t>
        </is>
      </c>
      <c r="C98" s="19" t="inlineStr">
        <is>
          <t>MADLN15BE</t>
        </is>
      </c>
      <c r="D98" s="20">
        <f>IFERROR(VLOOKUP(C98,파나소닉A6규격!$A:$C,2,FALSE),IFERROR(VLOOKUP(C98,파스텍EziServo규격!$A:$C,1,FALSE),""))</f>
        <v/>
      </c>
      <c r="E98" s="21">
        <f>IFERROR(VLOOKUP(C98,파나소닉A6규격!$A:$C,3,FALSE),IFERROR(VLOOKUP(C98,파스텍EziServo규격!$A:$C,3,FALSE),""))</f>
        <v/>
      </c>
      <c r="F98" s="22" t="n">
        <v>1</v>
      </c>
      <c r="G98" s="22" t="n">
        <v>1</v>
      </c>
      <c r="H98" s="22" t="n">
        <v>0</v>
      </c>
      <c r="I98" s="22" t="n">
        <v>0</v>
      </c>
      <c r="J98" s="22">
        <f>IFERROR(E98*0.9,"")</f>
        <v/>
      </c>
      <c r="K98" s="22" t="inlineStr">
        <is>
          <t>●</t>
        </is>
      </c>
      <c r="L98" s="22" t="inlineStr"/>
      <c r="M98" s="22" t="inlineStr"/>
      <c r="N98" s="22" t="inlineStr"/>
      <c r="O98" s="22" t="inlineStr"/>
      <c r="P98" s="22" t="inlineStr"/>
      <c r="Q98" s="19" t="inlineStr"/>
    </row>
    <row r="99" ht="17" customHeight="1">
      <c r="A99" s="22" t="inlineStr"/>
      <c r="B99" s="19" t="inlineStr">
        <is>
          <t>JIG_PLATE_CONV2</t>
        </is>
      </c>
      <c r="C99" s="19" t="inlineStr">
        <is>
          <t>MADLN15BE</t>
        </is>
      </c>
      <c r="D99" s="20">
        <f>IFERROR(VLOOKUP(C99,파나소닉A6규격!$A:$C,2,FALSE),IFERROR(VLOOKUP(C99,파스텍EziServo규격!$A:$C,1,FALSE),""))</f>
        <v/>
      </c>
      <c r="E99" s="21">
        <f>IFERROR(VLOOKUP(C99,파나소닉A6규격!$A:$C,3,FALSE),IFERROR(VLOOKUP(C99,파스텍EziServo규격!$A:$C,3,FALSE),""))</f>
        <v/>
      </c>
      <c r="F99" s="22" t="n">
        <v>1</v>
      </c>
      <c r="G99" s="22" t="n">
        <v>0</v>
      </c>
      <c r="H99" s="22" t="n">
        <v>1</v>
      </c>
      <c r="I99" s="22" t="n">
        <v>0</v>
      </c>
      <c r="J99" s="22">
        <f>IFERROR(E99*0.9,"")</f>
        <v/>
      </c>
      <c r="K99" s="22" t="inlineStr">
        <is>
          <t>●</t>
        </is>
      </c>
      <c r="L99" s="22" t="inlineStr"/>
      <c r="M99" s="22" t="inlineStr"/>
      <c r="N99" s="22" t="inlineStr"/>
      <c r="O99" s="22" t="inlineStr"/>
      <c r="P99" s="22" t="inlineStr"/>
      <c r="Q99" s="19" t="inlineStr"/>
    </row>
    <row r="100" ht="17" customHeight="1">
      <c r="A100" s="22" t="inlineStr"/>
      <c r="B100" s="19" t="inlineStr">
        <is>
          <t>LO_JIG_TRANSFER_Y</t>
        </is>
      </c>
      <c r="C100" s="19" t="inlineStr">
        <is>
          <t>MADLN05BE</t>
        </is>
      </c>
      <c r="D100" s="20">
        <f>IFERROR(VLOOKUP(C100,파나소닉A6규격!$A:$C,2,FALSE),IFERROR(VLOOKUP(C100,파스텍EziServo규격!$A:$C,1,FALSE),""))</f>
        <v/>
      </c>
      <c r="E100" s="21">
        <f>IFERROR(VLOOKUP(C100,파나소닉A6규격!$A:$C,3,FALSE),IFERROR(VLOOKUP(C100,파스텍EziServo규격!$A:$C,3,FALSE),""))</f>
        <v/>
      </c>
      <c r="F100" s="22" t="n">
        <v>1</v>
      </c>
      <c r="G100" s="22" t="n">
        <v>0</v>
      </c>
      <c r="H100" s="22" t="n">
        <v>0</v>
      </c>
      <c r="I100" s="22" t="n">
        <v>1</v>
      </c>
      <c r="J100" s="22">
        <f>IFERROR(E100*0.9,"")</f>
        <v/>
      </c>
      <c r="K100" s="22" t="inlineStr">
        <is>
          <t>●</t>
        </is>
      </c>
      <c r="L100" s="22" t="inlineStr"/>
      <c r="M100" s="22" t="inlineStr"/>
      <c r="N100" s="22" t="inlineStr"/>
      <c r="O100" s="22" t="inlineStr"/>
      <c r="P100" s="22" t="inlineStr"/>
      <c r="Q100" s="19" t="inlineStr"/>
    </row>
    <row r="101" ht="17" customHeight="1">
      <c r="A101" s="22" t="inlineStr"/>
      <c r="B101" s="19" t="inlineStr">
        <is>
          <t>LO_JIG_TRANSFER_Z</t>
        </is>
      </c>
      <c r="C101" s="19" t="inlineStr">
        <is>
          <t>MADLN05BE</t>
        </is>
      </c>
      <c r="D101" s="20">
        <f>IFERROR(VLOOKUP(C101,파나소닉A6규격!$A:$C,2,FALSE),IFERROR(VLOOKUP(C101,파스텍EziServo규격!$A:$C,1,FALSE),""))</f>
        <v/>
      </c>
      <c r="E101" s="21">
        <f>IFERROR(VLOOKUP(C101,파나소닉A6규격!$A:$C,3,FALSE),IFERROR(VLOOKUP(C101,파스텍EziServo규격!$A:$C,3,FALSE),""))</f>
        <v/>
      </c>
      <c r="F101" s="22" t="n">
        <v>1</v>
      </c>
      <c r="G101" s="22" t="n">
        <v>1</v>
      </c>
      <c r="H101" s="22" t="n">
        <v>0</v>
      </c>
      <c r="I101" s="22" t="n">
        <v>0</v>
      </c>
      <c r="J101" s="22">
        <f>IFERROR(E101*0.9,"")</f>
        <v/>
      </c>
      <c r="K101" s="22" t="inlineStr">
        <is>
          <t>●</t>
        </is>
      </c>
      <c r="L101" s="22" t="inlineStr"/>
      <c r="M101" s="22" t="inlineStr"/>
      <c r="N101" s="22" t="inlineStr"/>
      <c r="O101" s="22" t="inlineStr"/>
      <c r="P101" s="22" t="inlineStr"/>
      <c r="Q101" s="19" t="inlineStr"/>
    </row>
    <row r="102" ht="17" customHeight="1">
      <c r="A102" s="22" t="inlineStr"/>
      <c r="B102" s="19" t="inlineStr">
        <is>
          <t>TURN_PLATE</t>
        </is>
      </c>
      <c r="C102" s="19" t="inlineStr">
        <is>
          <t>MADLN05BE</t>
        </is>
      </c>
      <c r="D102" s="20">
        <f>IFERROR(VLOOKUP(C102,파나소닉A6규격!$A:$C,2,FALSE),IFERROR(VLOOKUP(C102,파스텍EziServo규격!$A:$C,1,FALSE),""))</f>
        <v/>
      </c>
      <c r="E102" s="21">
        <f>IFERROR(VLOOKUP(C102,파나소닉A6규격!$A:$C,3,FALSE),IFERROR(VLOOKUP(C102,파스텍EziServo규격!$A:$C,3,FALSE),""))</f>
        <v/>
      </c>
      <c r="F102" s="22" t="n">
        <v>1</v>
      </c>
      <c r="G102" s="22" t="n">
        <v>0</v>
      </c>
      <c r="H102" s="22" t="n">
        <v>1</v>
      </c>
      <c r="I102" s="22" t="n">
        <v>0</v>
      </c>
      <c r="J102" s="22">
        <f>IFERROR(E102*0.9,"")</f>
        <v/>
      </c>
      <c r="K102" s="22" t="inlineStr">
        <is>
          <t>●</t>
        </is>
      </c>
      <c r="L102" s="22" t="inlineStr"/>
      <c r="M102" s="22" t="inlineStr"/>
      <c r="N102" s="22" t="inlineStr"/>
      <c r="O102" s="22" t="inlineStr"/>
      <c r="P102" s="22" t="inlineStr"/>
      <c r="Q102" s="19" t="inlineStr"/>
    </row>
    <row r="103" ht="17" customHeight="1">
      <c r="A103" s="22" t="inlineStr"/>
      <c r="B103" s="19" t="inlineStr">
        <is>
          <t>INSEPC_Y</t>
        </is>
      </c>
      <c r="C103" s="19" t="inlineStr">
        <is>
          <t>MDDLN55BL</t>
        </is>
      </c>
      <c r="D103" s="20">
        <f>IFERROR(VLOOKUP(C103,파나소닉A6규격!$A:$C,2,FALSE),IFERROR(VLOOKUP(C103,파스텍EziServo규격!$A:$C,1,FALSE),""))</f>
        <v/>
      </c>
      <c r="E103" s="21">
        <f>IFERROR(VLOOKUP(C103,파나소닉A6규격!$A:$C,3,FALSE),IFERROR(VLOOKUP(C103,파스텍EziServo규격!$A:$C,3,FALSE),""))</f>
        <v/>
      </c>
      <c r="F103" s="22" t="n">
        <v>3</v>
      </c>
      <c r="G103" s="22" t="n">
        <v>1</v>
      </c>
      <c r="H103" s="22" t="n">
        <v>1</v>
      </c>
      <c r="I103" s="22" t="n">
        <v>1</v>
      </c>
      <c r="J103" s="22">
        <f>IFERROR(E103*0.9,"")</f>
        <v/>
      </c>
      <c r="K103" s="22" t="inlineStr">
        <is>
          <t>●</t>
        </is>
      </c>
      <c r="L103" s="22" t="inlineStr"/>
      <c r="M103" s="22" t="inlineStr"/>
      <c r="N103" s="22" t="inlineStr"/>
      <c r="O103" s="22" t="inlineStr"/>
      <c r="P103" s="22" t="inlineStr"/>
      <c r="Q103" s="19" t="inlineStr">
        <is>
          <t>Linear Motor Driver</t>
        </is>
      </c>
    </row>
    <row r="104" ht="17" customHeight="1">
      <c r="A104" s="22" t="inlineStr"/>
      <c r="B104" s="19" t="inlineStr">
        <is>
          <t>INSPEC_X</t>
        </is>
      </c>
      <c r="C104" s="19" t="inlineStr">
        <is>
          <t>MCDLN35BL</t>
        </is>
      </c>
      <c r="D104" s="20">
        <f>IFERROR(VLOOKUP(C104,파나소닉A6규격!$A:$C,2,FALSE),IFERROR(VLOOKUP(C104,파스텍EziServo규격!$A:$C,1,FALSE),""))</f>
        <v/>
      </c>
      <c r="E104" s="21">
        <f>IFERROR(VLOOKUP(C104,파나소닉A6규격!$A:$C,3,FALSE),IFERROR(VLOOKUP(C104,파스텍EziServo규격!$A:$C,3,FALSE),""))</f>
        <v/>
      </c>
      <c r="F104" s="22" t="n">
        <v>3</v>
      </c>
      <c r="G104" s="22" t="n">
        <v>0</v>
      </c>
      <c r="H104" s="22" t="n">
        <v>1</v>
      </c>
      <c r="I104" s="22" t="n">
        <v>1</v>
      </c>
      <c r="J104" s="22">
        <f>IFERROR(E104*0.9,"")</f>
        <v/>
      </c>
      <c r="K104" s="22" t="inlineStr">
        <is>
          <t>●</t>
        </is>
      </c>
      <c r="L104" s="22" t="inlineStr"/>
      <c r="M104" s="22" t="inlineStr"/>
      <c r="N104" s="22" t="inlineStr"/>
      <c r="O104" s="22" t="inlineStr"/>
      <c r="P104" s="22" t="inlineStr"/>
      <c r="Q104" s="19" t="inlineStr">
        <is>
          <t>Linear Motor Driver</t>
        </is>
      </c>
    </row>
    <row r="105" ht="17" customHeight="1">
      <c r="A105" s="22" t="inlineStr"/>
      <c r="B105" s="19" t="inlineStr">
        <is>
          <t>INSPEC_Z1</t>
        </is>
      </c>
      <c r="C105" s="19" t="inlineStr">
        <is>
          <t>MADLN05BE</t>
        </is>
      </c>
      <c r="D105" s="20">
        <f>IFERROR(VLOOKUP(C105,파나소닉A6규격!$A:$C,2,FALSE),IFERROR(VLOOKUP(C105,파스텍EziServo규격!$A:$C,1,FALSE),""))</f>
        <v/>
      </c>
      <c r="E105" s="21">
        <f>IFERROR(VLOOKUP(C105,파나소닉A6규격!$A:$C,3,FALSE),IFERROR(VLOOKUP(C105,파스텍EziServo규격!$A:$C,3,FALSE),""))</f>
        <v/>
      </c>
      <c r="F105" s="22" t="n">
        <v>1</v>
      </c>
      <c r="G105" s="22" t="n">
        <v>1</v>
      </c>
      <c r="H105" s="22" t="n">
        <v>0</v>
      </c>
      <c r="I105" s="22" t="n">
        <v>0</v>
      </c>
      <c r="J105" s="22">
        <f>IFERROR(E105*0.9,"")</f>
        <v/>
      </c>
      <c r="K105" s="22" t="inlineStr">
        <is>
          <t>●</t>
        </is>
      </c>
      <c r="L105" s="22" t="inlineStr"/>
      <c r="M105" s="22" t="inlineStr"/>
      <c r="N105" s="22" t="inlineStr"/>
      <c r="O105" s="22" t="inlineStr"/>
      <c r="P105" s="22" t="inlineStr"/>
      <c r="Q105" s="19" t="inlineStr"/>
    </row>
    <row r="106" ht="17" customHeight="1">
      <c r="A106" s="22" t="inlineStr"/>
      <c r="B106" s="19" t="inlineStr">
        <is>
          <t>INSPEC_Z2</t>
        </is>
      </c>
      <c r="C106" s="19" t="inlineStr">
        <is>
          <t>MADLN05BE</t>
        </is>
      </c>
      <c r="D106" s="20">
        <f>IFERROR(VLOOKUP(C106,파나소닉A6규격!$A:$C,2,FALSE),IFERROR(VLOOKUP(C106,파스텍EziServo규격!$A:$C,1,FALSE),""))</f>
        <v/>
      </c>
      <c r="E106" s="21">
        <f>IFERROR(VLOOKUP(C106,파나소닉A6규격!$A:$C,3,FALSE),IFERROR(VLOOKUP(C106,파스텍EziServo규격!$A:$C,3,FALSE),""))</f>
        <v/>
      </c>
      <c r="F106" s="22" t="n">
        <v>1</v>
      </c>
      <c r="G106" s="22" t="n">
        <v>0</v>
      </c>
      <c r="H106" s="22" t="n">
        <v>1</v>
      </c>
      <c r="I106" s="22" t="n">
        <v>0</v>
      </c>
      <c r="J106" s="22">
        <f>IFERROR(E106*0.9,"")</f>
        <v/>
      </c>
      <c r="K106" s="22" t="inlineStr">
        <is>
          <t>●</t>
        </is>
      </c>
      <c r="L106" s="22" t="inlineStr"/>
      <c r="M106" s="22" t="inlineStr"/>
      <c r="N106" s="22" t="inlineStr"/>
      <c r="O106" s="22" t="inlineStr"/>
      <c r="P106" s="22" t="inlineStr"/>
      <c r="Q106" s="19" t="inlineStr"/>
    </row>
    <row r="107" ht="17" customHeight="1">
      <c r="A107" s="23" t="inlineStr">
        <is>
          <t xml:space="preserve">  판넬4 AC 소계 소계</t>
        </is>
      </c>
      <c r="D107" s="24" t="n"/>
      <c r="E107" s="25">
        <f>SUM(E90:E106)</f>
        <v/>
      </c>
      <c r="F107" s="24" t="n"/>
      <c r="G107" s="24" t="n"/>
      <c r="H107" s="24" t="n"/>
      <c r="I107" s="24" t="n"/>
      <c r="J107" s="25">
        <f>SUM(J90:J106)</f>
        <v/>
      </c>
      <c r="K107" s="24" t="n"/>
      <c r="L107" s="24" t="n"/>
      <c r="M107" s="24" t="n"/>
      <c r="N107" s="24" t="n"/>
      <c r="O107" s="26">
        <f>CEILING(E107*1.25,5)</f>
        <v/>
      </c>
      <c r="P107" s="24" t="n"/>
      <c r="Q107" s="27" t="inlineStr">
        <is>
          <t>E×1.25→CEILING 5A 단위</t>
        </is>
      </c>
    </row>
    <row r="109" ht="16" customHeight="1">
      <c r="A109" s="28" t="inlineStr">
        <is>
          <t>■ 판넬4 — EziServo/EziSpeed (DC 24V)</t>
        </is>
      </c>
    </row>
    <row r="110" ht="17" customHeight="1">
      <c r="A110" s="29" t="inlineStr"/>
      <c r="B110" s="30" t="inlineStr">
        <is>
          <t>INSPEC_R1</t>
        </is>
      </c>
      <c r="C110" s="30" t="inlineStr">
        <is>
          <t>Ezi-EC-42XL-A</t>
        </is>
      </c>
      <c r="D110" s="31">
        <f>IFERROR(VLOOKUP(C110,파나소닉A6규격!$A:$C,2,FALSE),IFERROR(VLOOKUP(C110,파스텍EziServo규격!$A:$C,1,FALSE),""))</f>
        <v/>
      </c>
      <c r="E110" s="21">
        <f>IFERROR(VLOOKUP(C110,파나소닉A6규격!$A:$C,3,FALSE),IFERROR(VLOOKUP(C110,파스텍EziServo규격!$A:$C,3,FALSE),""))</f>
        <v/>
      </c>
      <c r="F110" s="29" t="n">
        <v>1</v>
      </c>
      <c r="G110" s="29" t="n">
        <v>0</v>
      </c>
      <c r="H110" s="29" t="n">
        <v>0</v>
      </c>
      <c r="I110" s="29" t="n">
        <v>0</v>
      </c>
      <c r="J110" s="29">
        <f>IFERROR(E110*0.9,"")</f>
        <v/>
      </c>
      <c r="K110" s="29" t="inlineStr"/>
      <c r="L110" s="29" t="inlineStr">
        <is>
          <t>●</t>
        </is>
      </c>
      <c r="M110" s="29" t="inlineStr"/>
      <c r="N110" s="29" t="inlineStr"/>
      <c r="O110" s="29" t="inlineStr"/>
      <c r="P110" s="29" t="inlineStr"/>
      <c r="Q110" s="30" t="inlineStr">
        <is>
          <t>EziServo EC (DC24V)</t>
        </is>
      </c>
    </row>
    <row r="111" ht="17" customHeight="1">
      <c r="A111" s="29" t="inlineStr"/>
      <c r="B111" s="30" t="inlineStr">
        <is>
          <t>INSEPC_R2</t>
        </is>
      </c>
      <c r="C111" s="30" t="inlineStr">
        <is>
          <t>Ezi-EC-42XL-A</t>
        </is>
      </c>
      <c r="D111" s="31">
        <f>IFERROR(VLOOKUP(C111,파나소닉A6규격!$A:$C,2,FALSE),IFERROR(VLOOKUP(C111,파스텍EziServo규격!$A:$C,1,FALSE),""))</f>
        <v/>
      </c>
      <c r="E111" s="21">
        <f>IFERROR(VLOOKUP(C111,파나소닉A6규격!$A:$C,3,FALSE),IFERROR(VLOOKUP(C111,파스텍EziServo규격!$A:$C,3,FALSE),""))</f>
        <v/>
      </c>
      <c r="F111" s="29" t="n">
        <v>1</v>
      </c>
      <c r="G111" s="29" t="n">
        <v>0</v>
      </c>
      <c r="H111" s="29" t="n">
        <v>0</v>
      </c>
      <c r="I111" s="29" t="n">
        <v>0</v>
      </c>
      <c r="J111" s="29">
        <f>IFERROR(E111*0.9,"")</f>
        <v/>
      </c>
      <c r="K111" s="29" t="inlineStr"/>
      <c r="L111" s="29" t="inlineStr">
        <is>
          <t>●</t>
        </is>
      </c>
      <c r="M111" s="29" t="inlineStr"/>
      <c r="N111" s="29" t="inlineStr"/>
      <c r="O111" s="29" t="inlineStr"/>
      <c r="P111" s="29" t="inlineStr"/>
      <c r="Q111" s="30" t="inlineStr"/>
    </row>
    <row r="112" ht="17" customHeight="1">
      <c r="A112" s="29" t="inlineStr"/>
      <c r="B112" s="30" t="inlineStr">
        <is>
          <t>TURN_GRIPPER_R1</t>
        </is>
      </c>
      <c r="C112" s="30" t="inlineStr">
        <is>
          <t>Ezi-EC-42XL-A</t>
        </is>
      </c>
      <c r="D112" s="31">
        <f>IFERROR(VLOOKUP(C112,파나소닉A6규격!$A:$C,2,FALSE),IFERROR(VLOOKUP(C112,파스텍EziServo규격!$A:$C,1,FALSE),""))</f>
        <v/>
      </c>
      <c r="E112" s="21">
        <f>IFERROR(VLOOKUP(C112,파나소닉A6규격!$A:$C,3,FALSE),IFERROR(VLOOKUP(C112,파스텍EziServo규격!$A:$C,3,FALSE),""))</f>
        <v/>
      </c>
      <c r="F112" s="29" t="n">
        <v>1</v>
      </c>
      <c r="G112" s="29" t="n">
        <v>0</v>
      </c>
      <c r="H112" s="29" t="n">
        <v>0</v>
      </c>
      <c r="I112" s="29" t="n">
        <v>0</v>
      </c>
      <c r="J112" s="29">
        <f>IFERROR(E112*0.9,"")</f>
        <v/>
      </c>
      <c r="K112" s="29" t="inlineStr"/>
      <c r="L112" s="29" t="inlineStr">
        <is>
          <t>●</t>
        </is>
      </c>
      <c r="M112" s="29" t="inlineStr"/>
      <c r="N112" s="29" t="inlineStr"/>
      <c r="O112" s="29" t="inlineStr"/>
      <c r="P112" s="29" t="inlineStr"/>
      <c r="Q112" s="30" t="inlineStr"/>
    </row>
    <row r="113" ht="17" customHeight="1">
      <c r="A113" s="29" t="inlineStr"/>
      <c r="B113" s="30" t="inlineStr">
        <is>
          <t>TURN_GRIPPER_R2</t>
        </is>
      </c>
      <c r="C113" s="30" t="inlineStr">
        <is>
          <t>Ezi-EC-42XL-A</t>
        </is>
      </c>
      <c r="D113" s="31">
        <f>IFERROR(VLOOKUP(C113,파나소닉A6규격!$A:$C,2,FALSE),IFERROR(VLOOKUP(C113,파스텍EziServo규격!$A:$C,1,FALSE),""))</f>
        <v/>
      </c>
      <c r="E113" s="21">
        <f>IFERROR(VLOOKUP(C113,파나소닉A6규격!$A:$C,3,FALSE),IFERROR(VLOOKUP(C113,파스텍EziServo규격!$A:$C,3,FALSE),""))</f>
        <v/>
      </c>
      <c r="F113" s="29" t="n">
        <v>1</v>
      </c>
      <c r="G113" s="29" t="n">
        <v>0</v>
      </c>
      <c r="H113" s="29" t="n">
        <v>0</v>
      </c>
      <c r="I113" s="29" t="n">
        <v>0</v>
      </c>
      <c r="J113" s="29">
        <f>IFERROR(E113*0.9,"")</f>
        <v/>
      </c>
      <c r="K113" s="29" t="inlineStr"/>
      <c r="L113" s="29" t="inlineStr">
        <is>
          <t>●</t>
        </is>
      </c>
      <c r="M113" s="29" t="inlineStr"/>
      <c r="N113" s="29" t="inlineStr"/>
      <c r="O113" s="29" t="inlineStr"/>
      <c r="P113" s="29" t="inlineStr"/>
      <c r="Q113" s="30" t="inlineStr"/>
    </row>
    <row r="114" ht="17" customHeight="1">
      <c r="A114" s="29" t="inlineStr"/>
      <c r="B114" s="30" t="inlineStr">
        <is>
          <t>TURN_R1</t>
        </is>
      </c>
      <c r="C114" s="30" t="inlineStr">
        <is>
          <t>Ezi-EC-42M-A</t>
        </is>
      </c>
      <c r="D114" s="31">
        <f>IFERROR(VLOOKUP(C114,파나소닉A6규격!$A:$C,2,FALSE),IFERROR(VLOOKUP(C114,파스텍EziServo규격!$A:$C,1,FALSE),""))</f>
        <v/>
      </c>
      <c r="E114" s="21">
        <f>IFERROR(VLOOKUP(C114,파나소닉A6규격!$A:$C,3,FALSE),IFERROR(VLOOKUP(C114,파스텍EziServo규격!$A:$C,3,FALSE),""))</f>
        <v/>
      </c>
      <c r="F114" s="29" t="n">
        <v>1</v>
      </c>
      <c r="G114" s="29" t="n">
        <v>0</v>
      </c>
      <c r="H114" s="29" t="n">
        <v>0</v>
      </c>
      <c r="I114" s="29" t="n">
        <v>0</v>
      </c>
      <c r="J114" s="29">
        <f>IFERROR(E114*0.9,"")</f>
        <v/>
      </c>
      <c r="K114" s="29" t="inlineStr"/>
      <c r="L114" s="29" t="inlineStr">
        <is>
          <t>●</t>
        </is>
      </c>
      <c r="M114" s="29" t="inlineStr"/>
      <c r="N114" s="29" t="inlineStr"/>
      <c r="O114" s="29" t="inlineStr"/>
      <c r="P114" s="29" t="inlineStr"/>
      <c r="Q114" s="30" t="inlineStr">
        <is>
          <t>EziServo EC 미니</t>
        </is>
      </c>
    </row>
    <row r="115" ht="17" customHeight="1">
      <c r="A115" s="29" t="inlineStr"/>
      <c r="B115" s="30" t="inlineStr">
        <is>
          <t>TURN_R2</t>
        </is>
      </c>
      <c r="C115" s="30" t="inlineStr">
        <is>
          <t>Ezi-EC-42M-A</t>
        </is>
      </c>
      <c r="D115" s="31">
        <f>IFERROR(VLOOKUP(C115,파나소닉A6규격!$A:$C,2,FALSE),IFERROR(VLOOKUP(C115,파스텍EziServo규격!$A:$C,1,FALSE),""))</f>
        <v/>
      </c>
      <c r="E115" s="21">
        <f>IFERROR(VLOOKUP(C115,파나소닉A6규격!$A:$C,3,FALSE),IFERROR(VLOOKUP(C115,파스텍EziServo규격!$A:$C,3,FALSE),""))</f>
        <v/>
      </c>
      <c r="F115" s="29" t="n">
        <v>1</v>
      </c>
      <c r="G115" s="29" t="n">
        <v>0</v>
      </c>
      <c r="H115" s="29" t="n">
        <v>0</v>
      </c>
      <c r="I115" s="29" t="n">
        <v>0</v>
      </c>
      <c r="J115" s="29">
        <f>IFERROR(E115*0.9,"")</f>
        <v/>
      </c>
      <c r="K115" s="29" t="inlineStr"/>
      <c r="L115" s="29" t="inlineStr">
        <is>
          <t>●</t>
        </is>
      </c>
      <c r="M115" s="29" t="inlineStr"/>
      <c r="N115" s="29" t="inlineStr"/>
      <c r="O115" s="29" t="inlineStr"/>
      <c r="P115" s="29" t="inlineStr"/>
      <c r="Q115" s="30" t="inlineStr"/>
    </row>
    <row r="116" ht="17" customHeight="1">
      <c r="A116" s="23" t="inlineStr">
        <is>
          <t xml:space="preserve">  판넬4 EziServo 소계 소계</t>
        </is>
      </c>
      <c r="D116" s="24" t="n"/>
      <c r="E116" s="25">
        <f>SUM(E110:E115)</f>
        <v/>
      </c>
      <c r="F116" s="24" t="n"/>
      <c r="G116" s="24" t="n"/>
      <c r="H116" s="24" t="n"/>
      <c r="I116" s="24" t="n"/>
      <c r="J116" s="25">
        <f>SUM(J110:J115)</f>
        <v/>
      </c>
      <c r="K116" s="24" t="n"/>
      <c r="L116" s="24" t="n"/>
      <c r="M116" s="24" t="n"/>
      <c r="N116" s="24" t="n"/>
      <c r="O116" s="26">
        <f>CEILING(E116*1.25,5)</f>
        <v/>
      </c>
      <c r="P116" s="24" t="n"/>
      <c r="Q116" s="27" t="inlineStr">
        <is>
          <t>E×1.25→CEILING 5A 단위</t>
        </is>
      </c>
    </row>
    <row r="118" ht="16" customHeight="1">
      <c r="A118" s="32" t="inlineStr">
        <is>
          <t>■ DC 24V 공통 부하 (센서/I/O/솔레노이드) — 수량 직접 입력</t>
        </is>
      </c>
    </row>
    <row r="119" ht="17" customHeight="1">
      <c r="A119" s="33" t="inlineStr">
        <is>
          <t>공통</t>
        </is>
      </c>
      <c r="B119" s="34" t="inlineStr">
        <is>
          <t>EziServo/센서/I/O DC24V</t>
        </is>
      </c>
      <c r="C119" s="34" t="inlineStr">
        <is>
          <t>(추후 입력)</t>
        </is>
      </c>
      <c r="D119" s="35">
        <f>IFERROR(VLOOKUP(C119,파나소닉A6규격!$A:$C,2,FALSE),IFERROR(VLOOKUP(C119,파스텍EziServo규격!$A:$C,1,FALSE),""))</f>
        <v/>
      </c>
      <c r="E119" s="21" t="inlineStr"/>
      <c r="F119" s="36" t="n">
        <v>1</v>
      </c>
      <c r="G119" s="36" t="n">
        <v>0</v>
      </c>
      <c r="H119" s="36" t="n">
        <v>0</v>
      </c>
      <c r="I119" s="36" t="n">
        <v>0</v>
      </c>
      <c r="J119" s="36">
        <f>IFERROR(E119*0.9,"")</f>
        <v/>
      </c>
      <c r="K119" s="36" t="inlineStr"/>
      <c r="L119" s="36" t="inlineStr"/>
      <c r="M119" s="36" t="inlineStr">
        <is>
          <t>●</t>
        </is>
      </c>
      <c r="N119" s="36" t="inlineStr"/>
      <c r="O119" s="36" t="inlineStr"/>
      <c r="P119" s="36" t="inlineStr"/>
      <c r="Q119" s="34" t="inlineStr">
        <is>
          <t>센서·솔레노이드·I/O 정리 후 추가</t>
        </is>
      </c>
    </row>
    <row r="120" ht="17" customHeight="1">
      <c r="A120" s="23" t="inlineStr">
        <is>
          <t xml:space="preserve">  DC24V 공통 소계 소계</t>
        </is>
      </c>
      <c r="D120" s="24" t="n"/>
      <c r="E120" s="25">
        <f>SUM(E119:E119)</f>
        <v/>
      </c>
      <c r="F120" s="24" t="n"/>
      <c r="G120" s="24" t="n"/>
      <c r="H120" s="24" t="n"/>
      <c r="I120" s="24" t="n"/>
      <c r="J120" s="25">
        <f>SUM(J119:J119)</f>
        <v/>
      </c>
      <c r="K120" s="24" t="n"/>
      <c r="L120" s="24" t="n"/>
      <c r="M120" s="24" t="n"/>
      <c r="N120" s="24" t="n"/>
      <c r="O120" s="26">
        <f>CEILING(E120*1.25,5)</f>
        <v/>
      </c>
      <c r="P120" s="24" t="n"/>
      <c r="Q120" s="27" t="inlineStr">
        <is>
          <t>E×1.25→CEILING 5A 단위</t>
        </is>
      </c>
    </row>
    <row r="122" ht="16" customHeight="1">
      <c r="A122" s="37" t="inlineStr">
        <is>
          <t>■ 기타 부하 (HMI / PC / 조명 등) — 전류 직접 입력</t>
        </is>
      </c>
    </row>
    <row r="123" ht="17" customHeight="1">
      <c r="A123" s="38" t="inlineStr">
        <is>
          <t>기타</t>
        </is>
      </c>
      <c r="B123" s="39" t="inlineStr">
        <is>
          <t>HMI/PC/조명 등</t>
        </is>
      </c>
      <c r="C123" s="39" t="inlineStr">
        <is>
          <t>(추후 입력)</t>
        </is>
      </c>
      <c r="D123" s="40">
        <f>IFERROR(VLOOKUP(C123,파나소닉A6규격!$A:$C,2,FALSE),IFERROR(VLOOKUP(C123,파스텍EziServo규격!$A:$C,1,FALSE),""))</f>
        <v/>
      </c>
      <c r="E123" s="21" t="n">
        <v>0</v>
      </c>
      <c r="F123" s="41" t="n">
        <v>1</v>
      </c>
      <c r="G123" s="41" t="n">
        <v>0</v>
      </c>
      <c r="H123" s="41" t="n">
        <v>0</v>
      </c>
      <c r="I123" s="41" t="n">
        <v>0</v>
      </c>
      <c r="J123" s="41">
        <f>IFERROR(E123*0.9,"")</f>
        <v/>
      </c>
      <c r="K123" s="41" t="inlineStr"/>
      <c r="L123" s="41" t="inlineStr"/>
      <c r="M123" s="41" t="inlineStr"/>
      <c r="N123" s="41" t="inlineStr">
        <is>
          <t>●</t>
        </is>
      </c>
      <c r="O123" s="41" t="inlineStr"/>
      <c r="P123" s="41" t="inlineStr"/>
      <c r="Q123" s="39" t="inlineStr">
        <is>
          <t>추후 직접 입력</t>
        </is>
      </c>
    </row>
    <row r="124" ht="17" customHeight="1">
      <c r="A124" s="23" t="inlineStr">
        <is>
          <t xml:space="preserve">  기타 소계 소계</t>
        </is>
      </c>
      <c r="D124" s="24" t="n"/>
      <c r="E124" s="25">
        <f>SUM(E123:E123)</f>
        <v/>
      </c>
      <c r="F124" s="24" t="n"/>
      <c r="G124" s="24" t="n"/>
      <c r="H124" s="24" t="n"/>
      <c r="I124" s="24" t="n"/>
      <c r="J124" s="25">
        <f>SUM(J123:J123)</f>
        <v/>
      </c>
      <c r="K124" s="24" t="n"/>
      <c r="L124" s="24" t="n"/>
      <c r="M124" s="24" t="n"/>
      <c r="N124" s="24" t="n"/>
      <c r="O124" s="26">
        <f>CEILING(E124*1.25,5)</f>
        <v/>
      </c>
      <c r="P124" s="24" t="n"/>
      <c r="Q124" s="27" t="inlineStr">
        <is>
          <t>E×1.25→CEILING 5A 단위</t>
        </is>
      </c>
    </row>
    <row r="126" ht="16" customHeight="1">
      <c r="A126" s="42" t="inlineStr">
        <is>
          <t>【 수식/VLOOKUP 설명 】</t>
        </is>
      </c>
    </row>
    <row r="127" ht="14" customHeight="1">
      <c r="A127" s="43" t="inlineStr">
        <is>
          <t>① C열 드라이버 모델 입력 → D열(출력W), E열(정격전류A) VLOOKUP 자동 계산 (파나소닉A6규격, 파스텍EziServo규격 시트 참조)</t>
        </is>
      </c>
    </row>
    <row r="128" ht="14" customHeight="1">
      <c r="A128" s="43" t="inlineStr">
        <is>
          <t>② 운전전류(J열) = 정격전류(E) × 0.9  (90% 운전 가정)</t>
        </is>
      </c>
    </row>
    <row r="129" ht="14" customHeight="1">
      <c r="A129" s="43" t="inlineStr">
        <is>
          <t>③ 소계행 O열 = 정격전류합계 × 1.25 → CEILING(5A 단위) = 차단기 권장 정격</t>
        </is>
      </c>
    </row>
    <row r="130" ht="14" customHeight="1">
      <c r="A130" s="43" t="inlineStr">
        <is>
          <t>④ R/S/T 상 할당(G/H/I): 1=해당상 연결, 0=미연결. R/S/T 합계로 편중 분석</t>
        </is>
      </c>
    </row>
    <row r="131" ht="14" customHeight="1">
      <c r="A131" s="43" t="inlineStr">
        <is>
          <t>⑤ Linear 드라이버(MCDLN35BL, MDDLN55BL): 스펙 전류 기입, 실측값으로 수정 권장</t>
        </is>
      </c>
    </row>
    <row r="132" ht="14" customHeight="1">
      <c r="A132" s="43" t="inlineStr">
        <is>
          <t>⑥ DC24V 공통 부하 E열: 직접 입력 (VLOOKUP 제외)</t>
        </is>
      </c>
    </row>
  </sheetData>
  <mergeCells count="42">
    <mergeCell ref="E17:E18"/>
    <mergeCell ref="A40:Q40"/>
    <mergeCell ref="A9:Q9"/>
    <mergeCell ref="G17:G18"/>
    <mergeCell ref="A127:Q127"/>
    <mergeCell ref="A130:Q130"/>
    <mergeCell ref="K17:N17"/>
    <mergeCell ref="B17:B18"/>
    <mergeCell ref="D17:D18"/>
    <mergeCell ref="A120:C120"/>
    <mergeCell ref="A1:Q1"/>
    <mergeCell ref="A132:Q132"/>
    <mergeCell ref="A33:C33"/>
    <mergeCell ref="A116:C116"/>
    <mergeCell ref="A87:C87"/>
    <mergeCell ref="H17:H18"/>
    <mergeCell ref="F17:F18"/>
    <mergeCell ref="P17:P18"/>
    <mergeCell ref="I17:I18"/>
    <mergeCell ref="A128:Q128"/>
    <mergeCell ref="A38:C38"/>
    <mergeCell ref="A80:Q80"/>
    <mergeCell ref="A118:Q118"/>
    <mergeCell ref="A89:Q89"/>
    <mergeCell ref="A56:Q56"/>
    <mergeCell ref="A17:A18"/>
    <mergeCell ref="C17:C18"/>
    <mergeCell ref="O17:O18"/>
    <mergeCell ref="Q17:Q18"/>
    <mergeCell ref="A2:Q2"/>
    <mergeCell ref="A129:Q129"/>
    <mergeCell ref="A107:C107"/>
    <mergeCell ref="A126:Q126"/>
    <mergeCell ref="J17:J18"/>
    <mergeCell ref="A122:Q122"/>
    <mergeCell ref="A109:Q109"/>
    <mergeCell ref="A35:Q35"/>
    <mergeCell ref="A131:Q131"/>
    <mergeCell ref="A78:C78"/>
    <mergeCell ref="A124:C124"/>
    <mergeCell ref="A19:Q19"/>
    <mergeCell ref="A54:C5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6" customWidth="1" min="3" max="3"/>
    <col width="22" customWidth="1" min="4" max="4"/>
  </cols>
  <sheetData>
    <row r="1">
      <c r="A1" s="44" t="inlineStr">
        <is>
          <t>파나소닉 A6 드라이버 규격 (VLOOKUP 참조)</t>
        </is>
      </c>
    </row>
    <row r="3" ht="20" customHeight="1">
      <c r="A3" s="16" t="inlineStr">
        <is>
          <t>드라이버 모델</t>
        </is>
      </c>
      <c r="B3" s="16" t="inlineStr">
        <is>
          <t>정격출력(W)</t>
        </is>
      </c>
      <c r="C3" s="16" t="inlineStr">
        <is>
          <t>정격입력전류(A)</t>
        </is>
      </c>
      <c r="D3" s="16" t="inlineStr">
        <is>
          <t>비고</t>
        </is>
      </c>
    </row>
    <row r="4" ht="16" customHeight="1">
      <c r="A4" s="45" t="inlineStr">
        <is>
          <t>MADLN05BE</t>
        </is>
      </c>
      <c r="B4" s="46" t="n">
        <v>100</v>
      </c>
      <c r="C4" s="47" t="n">
        <v>0.9</v>
      </c>
      <c r="D4" s="48" t="inlineStr">
        <is>
          <t>50W~100W 서보</t>
        </is>
      </c>
    </row>
    <row r="5" ht="16" customHeight="1">
      <c r="A5" s="45" t="inlineStr">
        <is>
          <t>MADLN10BE</t>
        </is>
      </c>
      <c r="B5" s="46" t="n">
        <v>100</v>
      </c>
      <c r="C5" s="47" t="n">
        <v>1.2</v>
      </c>
      <c r="D5" s="48" t="inlineStr">
        <is>
          <t>100W 서보</t>
        </is>
      </c>
    </row>
    <row r="6" ht="16" customHeight="1">
      <c r="A6" s="45" t="inlineStr">
        <is>
          <t>MADLN15BE</t>
        </is>
      </c>
      <c r="B6" s="46" t="n">
        <v>200</v>
      </c>
      <c r="C6" s="47" t="n">
        <v>1.5</v>
      </c>
      <c r="D6" s="48" t="inlineStr">
        <is>
          <t>200W 서보</t>
        </is>
      </c>
    </row>
    <row r="7" ht="16" customHeight="1">
      <c r="A7" s="45" t="inlineStr">
        <is>
          <t>MADLN23BE</t>
        </is>
      </c>
      <c r="B7" s="46" t="n">
        <v>400</v>
      </c>
      <c r="C7" s="47" t="n">
        <v>2.3</v>
      </c>
      <c r="D7" s="48" t="inlineStr">
        <is>
          <t>400W 서보</t>
        </is>
      </c>
    </row>
    <row r="8" ht="16" customHeight="1">
      <c r="A8" s="45" t="inlineStr">
        <is>
          <t>MBDLN25BE</t>
        </is>
      </c>
      <c r="B8" s="46" t="n">
        <v>400</v>
      </c>
      <c r="C8" s="47" t="n">
        <v>2.5</v>
      </c>
      <c r="D8" s="48" t="inlineStr">
        <is>
          <t>400W 서보</t>
        </is>
      </c>
    </row>
    <row r="9" ht="16" customHeight="1">
      <c r="A9" s="45" t="inlineStr">
        <is>
          <t>MBDLN55BE</t>
        </is>
      </c>
      <c r="B9" s="46" t="n">
        <v>750</v>
      </c>
      <c r="C9" s="47" t="n">
        <v>5</v>
      </c>
      <c r="D9" s="48" t="inlineStr">
        <is>
          <t>750W 서보</t>
        </is>
      </c>
    </row>
    <row r="10" ht="16" customHeight="1">
      <c r="A10" s="45" t="inlineStr">
        <is>
          <t>MCDLN35BE</t>
        </is>
      </c>
      <c r="B10" s="46" t="n">
        <v>800</v>
      </c>
      <c r="C10" s="47" t="n">
        <v>5</v>
      </c>
      <c r="D10" s="48" t="inlineStr">
        <is>
          <t>750W~800W 서보</t>
        </is>
      </c>
    </row>
    <row r="11" ht="16" customHeight="1">
      <c r="A11" s="45" t="inlineStr">
        <is>
          <t>MCDLN35BL</t>
        </is>
      </c>
      <c r="B11" s="46" t="n">
        <v>0</v>
      </c>
      <c r="C11" s="47" t="n">
        <v>5</v>
      </c>
      <c r="D11" s="48" t="inlineStr">
        <is>
          <t>Linear Motor Driver</t>
        </is>
      </c>
    </row>
    <row r="12" ht="16" customHeight="1">
      <c r="A12" s="45" t="inlineStr">
        <is>
          <t>MDDLN55BL</t>
        </is>
      </c>
      <c r="B12" s="46" t="n">
        <v>0</v>
      </c>
      <c r="C12" s="47" t="n">
        <v>8.5</v>
      </c>
      <c r="D12" s="48" t="inlineStr">
        <is>
          <t>Linear Motor Driver (대형)</t>
        </is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22" customWidth="1" min="4" max="4"/>
  </cols>
  <sheetData>
    <row r="1">
      <c r="A1" s="44" t="inlineStr">
        <is>
          <t>파스텍 EziServo / EziSpeed 규격 (VLOOKUP 참조)</t>
        </is>
      </c>
    </row>
    <row r="3" ht="20" customHeight="1">
      <c r="A3" s="16" t="inlineStr">
        <is>
          <t>드라이버/액추에이터 모델</t>
        </is>
      </c>
      <c r="B3" s="16" t="inlineStr">
        <is>
          <t>전원</t>
        </is>
      </c>
      <c r="C3" s="16" t="inlineStr">
        <is>
          <t>정격전류(A)</t>
        </is>
      </c>
      <c r="D3" s="16" t="inlineStr">
        <is>
          <t>비고</t>
        </is>
      </c>
    </row>
    <row r="4" ht="16" customHeight="1">
      <c r="A4" s="49" t="inlineStr">
        <is>
          <t>Ezi-EC-42XL-A</t>
        </is>
      </c>
      <c r="B4" s="46" t="inlineStr">
        <is>
          <t>DC 24V</t>
        </is>
      </c>
      <c r="C4" s="47" t="n">
        <v>2</v>
      </c>
      <c r="D4" s="48" t="inlineStr">
        <is>
          <t>EziServo EC 소형</t>
        </is>
      </c>
    </row>
    <row r="5" ht="16" customHeight="1">
      <c r="A5" s="49" t="inlineStr">
        <is>
          <t>Ezi-EC-42M-A</t>
        </is>
      </c>
      <c r="B5" s="46" t="inlineStr">
        <is>
          <t>DC 24V</t>
        </is>
      </c>
      <c r="C5" s="47" t="n">
        <v>1.5</v>
      </c>
      <c r="D5" s="48" t="inlineStr">
        <is>
          <t>EziServo EC 미니</t>
        </is>
      </c>
    </row>
    <row r="6" ht="16" customHeight="1">
      <c r="A6" s="49" t="inlineStr">
        <is>
          <t>EZI-SPEED60H30CR100P</t>
        </is>
      </c>
      <c r="B6" s="46" t="inlineStr">
        <is>
          <t>DC 24V</t>
        </is>
      </c>
      <c r="C6" s="47" t="n">
        <v>3</v>
      </c>
      <c r="D6" s="48" t="inlineStr">
        <is>
          <t>EziSpeed 컨베이어</t>
        </is>
      </c>
    </row>
    <row r="7" ht="16" customHeight="1">
      <c r="A7" s="49" t="inlineStr">
        <is>
          <t>EM542S</t>
        </is>
      </c>
      <c r="B7" s="46" t="inlineStr">
        <is>
          <t>DC 24~50V</t>
        </is>
      </c>
      <c r="C7" s="47" t="n">
        <v>4.2</v>
      </c>
      <c r="D7" s="48" t="inlineStr">
        <is>
          <t>파스텍 스텝드라이버</t>
        </is>
      </c>
    </row>
    <row r="8" ht="16" customHeight="1">
      <c r="A8" s="49" t="inlineStr">
        <is>
          <t>EM806</t>
        </is>
      </c>
      <c r="B8" s="46" t="inlineStr">
        <is>
          <t>DC 24~80V</t>
        </is>
      </c>
      <c r="C8" s="47" t="n">
        <v>8</v>
      </c>
      <c r="D8" s="48" t="inlineStr">
        <is>
          <t>파스텍 스텝드라이버</t>
        </is>
      </c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2" customWidth="1" min="3" max="3"/>
    <col width="18" customWidth="1" min="4" max="4"/>
    <col width="22" customWidth="1" min="5" max="5"/>
  </cols>
  <sheetData>
    <row r="1">
      <c r="A1" s="44" t="inlineStr">
        <is>
          <t>차단기 규격 참조표 (MCCB/MCB 3P, AC200V)</t>
        </is>
      </c>
    </row>
    <row r="3" ht="20" customHeight="1">
      <c r="A3" s="16" t="inlineStr">
        <is>
          <t>정격(A)</t>
        </is>
      </c>
      <c r="B3" s="16" t="inlineStr">
        <is>
          <t>적용 전류범위</t>
        </is>
      </c>
      <c r="C3" s="16" t="inlineStr">
        <is>
          <t>제조사</t>
        </is>
      </c>
      <c r="D3" s="16" t="inlineStr">
        <is>
          <t>모델명</t>
        </is>
      </c>
      <c r="E3" s="16" t="inlineStr">
        <is>
          <t>비고</t>
        </is>
      </c>
    </row>
    <row r="4" ht="15" customHeight="1">
      <c r="A4" s="50" t="n">
        <v>5</v>
      </c>
      <c r="B4" s="46" t="inlineStr">
        <is>
          <t>~4A</t>
        </is>
      </c>
      <c r="C4" s="46" t="inlineStr">
        <is>
          <t>LS/Chint</t>
        </is>
      </c>
      <c r="D4" s="46" t="inlineStr">
        <is>
          <t>ABN5c / NXB-63</t>
        </is>
      </c>
      <c r="E4" s="46" t="inlineStr">
        <is>
          <t>EziServo 2~3개</t>
        </is>
      </c>
    </row>
    <row r="5" ht="15" customHeight="1">
      <c r="A5" s="50" t="n">
        <v>10</v>
      </c>
      <c r="B5" s="46" t="inlineStr">
        <is>
          <t>4~8A</t>
        </is>
      </c>
      <c r="C5" s="46" t="inlineStr">
        <is>
          <t>LS/Chint</t>
        </is>
      </c>
      <c r="D5" s="46" t="inlineStr">
        <is>
          <t>ABN10c / NXB-63</t>
        </is>
      </c>
      <c r="E5" s="46" t="inlineStr">
        <is>
          <t>100W 서보 5축 이하</t>
        </is>
      </c>
    </row>
    <row r="6" ht="15" customHeight="1">
      <c r="A6" s="50" t="n">
        <v>15</v>
      </c>
      <c r="B6" s="46" t="inlineStr">
        <is>
          <t>8~12A</t>
        </is>
      </c>
      <c r="C6" s="46" t="inlineStr">
        <is>
          <t>LS/Chint</t>
        </is>
      </c>
      <c r="D6" s="46" t="inlineStr">
        <is>
          <t>ABN15c / NXB-63</t>
        </is>
      </c>
      <c r="E6" s="46" t="inlineStr"/>
    </row>
    <row r="7" ht="15" customHeight="1">
      <c r="A7" s="50" t="n">
        <v>20</v>
      </c>
      <c r="B7" s="46" t="inlineStr">
        <is>
          <t>12~16A</t>
        </is>
      </c>
      <c r="C7" s="46" t="inlineStr">
        <is>
          <t>LS/Chint</t>
        </is>
      </c>
      <c r="D7" s="46" t="inlineStr">
        <is>
          <t>ABN20c / NXB-63</t>
        </is>
      </c>
      <c r="E7" s="46" t="inlineStr">
        <is>
          <t>중형 판넬</t>
        </is>
      </c>
    </row>
    <row r="8" ht="15" customHeight="1">
      <c r="A8" s="50" t="n">
        <v>25</v>
      </c>
      <c r="B8" s="46" t="inlineStr">
        <is>
          <t>16~20A</t>
        </is>
      </c>
      <c r="C8" s="46" t="inlineStr">
        <is>
          <t>LS/Chint</t>
        </is>
      </c>
      <c r="D8" s="46" t="inlineStr">
        <is>
          <t>ABN25c / NXB-63</t>
        </is>
      </c>
      <c r="E8" s="46" t="inlineStr"/>
    </row>
    <row r="9" ht="15" customHeight="1">
      <c r="A9" s="50" t="n">
        <v>30</v>
      </c>
      <c r="B9" s="46" t="inlineStr">
        <is>
          <t>20~24A</t>
        </is>
      </c>
      <c r="C9" s="46" t="inlineStr">
        <is>
          <t>LS/Chint</t>
        </is>
      </c>
      <c r="D9" s="46" t="inlineStr">
        <is>
          <t>ABN30c / NXB-63</t>
        </is>
      </c>
      <c r="E9" s="46" t="inlineStr">
        <is>
          <t>다축 서보</t>
        </is>
      </c>
    </row>
    <row r="10" ht="15" customHeight="1">
      <c r="A10" s="50" t="n">
        <v>40</v>
      </c>
      <c r="B10" s="46" t="inlineStr">
        <is>
          <t>24~32A</t>
        </is>
      </c>
      <c r="C10" s="46" t="inlineStr">
        <is>
          <t>LS/Chint</t>
        </is>
      </c>
      <c r="D10" s="46" t="inlineStr">
        <is>
          <t>ABN40c</t>
        </is>
      </c>
      <c r="E10" s="46" t="inlineStr"/>
    </row>
    <row r="11" ht="15" customHeight="1">
      <c r="A11" s="50" t="n">
        <v>50</v>
      </c>
      <c r="B11" s="46" t="inlineStr">
        <is>
          <t>32~40A</t>
        </is>
      </c>
      <c r="C11" s="46" t="inlineStr">
        <is>
          <t>LS/Chint</t>
        </is>
      </c>
      <c r="D11" s="46" t="inlineStr">
        <is>
          <t>ABN50c</t>
        </is>
      </c>
      <c r="E11" s="46" t="inlineStr">
        <is>
          <t>대형 판넬</t>
        </is>
      </c>
    </row>
    <row r="12" ht="15" customHeight="1">
      <c r="A12" s="50" t="n">
        <v>63</v>
      </c>
      <c r="B12" s="46" t="inlineStr">
        <is>
          <t>40~50A</t>
        </is>
      </c>
      <c r="C12" s="46" t="inlineStr">
        <is>
          <t>LS/Chint</t>
        </is>
      </c>
      <c r="D12" s="46" t="inlineStr">
        <is>
          <t>ABN63c</t>
        </is>
      </c>
      <c r="E12" s="46" t="inlineStr"/>
    </row>
    <row r="13" ht="15" customHeight="1">
      <c r="A13" s="50" t="n">
        <v>75</v>
      </c>
      <c r="B13" s="46" t="inlineStr">
        <is>
          <t>50~60A</t>
        </is>
      </c>
      <c r="C13" s="46" t="inlineStr">
        <is>
          <t>LS/Chint</t>
        </is>
      </c>
      <c r="D13" s="46" t="inlineStr">
        <is>
          <t>ABN75c</t>
        </is>
      </c>
      <c r="E13" s="46" t="inlineStr">
        <is>
          <t>메인 차단기</t>
        </is>
      </c>
    </row>
    <row r="14" ht="15" customHeight="1">
      <c r="A14" s="50" t="n">
        <v>100</v>
      </c>
      <c r="B14" s="46" t="inlineStr">
        <is>
          <t>60~80A</t>
        </is>
      </c>
      <c r="C14" s="46" t="inlineStr">
        <is>
          <t>LS/Chint</t>
        </is>
      </c>
      <c r="D14" s="46" t="inlineStr">
        <is>
          <t>ABN100c</t>
        </is>
      </c>
      <c r="E14" s="46" t="inlineStr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2026-04-03T07:12:39Z</dcterms:created>
  <dcterms:modified xmlns:dcterms="http://purl.org/dc/terms/" xmlns:xsi="http://www.w3.org/2001/XMLSchema-instance" xsi:type="dcterms:W3CDTF">2026-04-03T07:12:39Z</dcterms:modified>
</cp:coreProperties>
</file>