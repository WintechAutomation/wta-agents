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넬별 차단기 선정" sheetId="1" state="visible" r:id="rId1"/>
    <sheet xmlns:r="http://schemas.openxmlformats.org/officeDocument/2006/relationships" name="차단기 규격 참조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</cols>
  <sheetData>
    <row r="1" ht="25" customHeight="1">
      <c r="A1" s="1" t="inlineStr">
        <is>
          <t>판넬별 전류 용량 계산 및 차단기 선정표</t>
        </is>
      </c>
    </row>
    <row r="2" ht="16" customHeight="1">
      <c r="A2" s="2" t="inlineStr">
        <is>
          <t>전원:</t>
        </is>
      </c>
      <c r="B2" s="3" t="inlineStr">
        <is>
          <t>AC 220V / 3상</t>
        </is>
      </c>
      <c r="C2" s="2" t="inlineStr">
        <is>
          <t>역률(PF):</t>
        </is>
      </c>
      <c r="D2" s="3" t="n">
        <v>0.85</v>
      </c>
      <c r="E2" s="2" t="inlineStr">
        <is>
          <t>안전계수:</t>
        </is>
      </c>
      <c r="F2" s="3" t="n">
        <v>1.25</v>
      </c>
      <c r="G2" s="2" t="inlineStr">
        <is>
          <t>작성일:</t>
        </is>
      </c>
      <c r="H2" s="3" t="inlineStr">
        <is>
          <t>2026-04-03</t>
        </is>
      </c>
    </row>
    <row r="3" ht="5" customHeight="1"/>
    <row r="4" ht="18" customHeight="1">
      <c r="A4" s="4" t="inlineStr">
        <is>
          <t>판넬명</t>
        </is>
      </c>
      <c r="B4" s="4" t="inlineStr">
        <is>
          <t>축 번호</t>
        </is>
      </c>
      <c r="C4" s="4" t="inlineStr">
        <is>
          <t>모터명 / 드라이버</t>
        </is>
      </c>
      <c r="D4" s="4" t="inlineStr">
        <is>
          <t>정격출력
(W)</t>
        </is>
      </c>
      <c r="E4" s="4" t="inlineStr">
        <is>
          <t>정격전류
(A)</t>
        </is>
      </c>
      <c r="F4" s="4" t="inlineStr">
        <is>
          <t>운전전류
(A)</t>
        </is>
      </c>
      <c r="G4" s="4" t="inlineStr">
        <is>
          <t>비고</t>
        </is>
      </c>
      <c r="H4" s="5" t="inlineStr">
        <is>
          <t>판넬 차단기 선정</t>
        </is>
      </c>
    </row>
    <row r="5" ht="30" customHeight="1">
      <c r="H5" s="6" t="inlineStr">
        <is>
          <t>총 운전전류
(A)</t>
        </is>
      </c>
      <c r="I5" s="6" t="inlineStr">
        <is>
          <t>안전계수
(×1.25)</t>
        </is>
      </c>
      <c r="J5" s="6" t="inlineStr">
        <is>
          <t>권장
차단기(A)</t>
        </is>
      </c>
      <c r="K5" s="6" t="inlineStr">
        <is>
          <t>선정
차단기(A)</t>
        </is>
      </c>
      <c r="L5" s="6" t="inlineStr">
        <is>
          <t>제조사</t>
        </is>
      </c>
      <c r="M5" s="6" t="inlineStr">
        <is>
          <t>모델명</t>
        </is>
      </c>
      <c r="N5" s="6" t="inlineStr">
        <is>
          <t>비고</t>
        </is>
      </c>
      <c r="O5" s="6" t="inlineStr"/>
    </row>
    <row r="6" ht="18" customHeight="1">
      <c r="A6" s="7" t="inlineStr">
        <is>
          <t>판넬 1
(예시)</t>
        </is>
      </c>
      <c r="B6" s="8" t="inlineStr">
        <is>
          <t>축1</t>
        </is>
      </c>
      <c r="C6" s="9" t="inlineStr">
        <is>
          <t>서보모터 (Panasonic MHMF042L1S)</t>
        </is>
      </c>
      <c r="D6" s="8" t="n">
        <v>400</v>
      </c>
      <c r="E6" s="8" t="n">
        <v>2.1</v>
      </c>
      <c r="F6" s="8" t="n">
        <v>1.8</v>
      </c>
      <c r="G6" s="9" t="inlineStr"/>
    </row>
    <row r="7" ht="18" customHeight="1">
      <c r="A7" s="7" t="inlineStr"/>
      <c r="B7" s="8" t="inlineStr">
        <is>
          <t>축2</t>
        </is>
      </c>
      <c r="C7" s="9" t="inlineStr">
        <is>
          <t>서보모터 (Panasonic MHMF082L1S)</t>
        </is>
      </c>
      <c r="D7" s="8" t="n">
        <v>750</v>
      </c>
      <c r="E7" s="8" t="n">
        <v>4.1</v>
      </c>
      <c r="F7" s="8" t="n">
        <v>3.5</v>
      </c>
      <c r="G7" s="9" t="inlineStr"/>
    </row>
    <row r="8" ht="18" customHeight="1">
      <c r="A8" s="7" t="inlineStr"/>
      <c r="B8" s="8" t="inlineStr">
        <is>
          <t>축3</t>
        </is>
      </c>
      <c r="C8" s="9" t="inlineStr">
        <is>
          <t>스텝모터 (Leadshine 57HS)</t>
        </is>
      </c>
      <c r="D8" s="8" t="n">
        <v>150</v>
      </c>
      <c r="E8" s="8" t="n">
        <v>2.8</v>
      </c>
      <c r="F8" s="8" t="n">
        <v>2.2</v>
      </c>
      <c r="G8" s="9" t="inlineStr">
        <is>
          <t>DC 24V 별도</t>
        </is>
      </c>
    </row>
    <row r="9" ht="18" customHeight="1">
      <c r="A9" s="7" t="inlineStr"/>
      <c r="B9" s="8" t="inlineStr">
        <is>
          <t>기타</t>
        </is>
      </c>
      <c r="C9" s="9" t="inlineStr">
        <is>
          <t>I/O 모듈, HMI, 팬 등</t>
        </is>
      </c>
      <c r="D9" s="8" t="inlineStr"/>
      <c r="E9" s="8" t="inlineStr"/>
      <c r="F9" s="8" t="n">
        <v>2</v>
      </c>
      <c r="G9" s="9" t="inlineStr">
        <is>
          <t>공통부하</t>
        </is>
      </c>
    </row>
    <row r="10" ht="18" customHeight="1">
      <c r="A10" s="10" t="inlineStr">
        <is>
          <t>▶ 판넬 1 합계</t>
        </is>
      </c>
      <c r="H10" s="10">
        <f>SUM(F6:F9)</f>
        <v/>
      </c>
      <c r="I10" s="10">
        <f>H10*1.25</f>
        <v/>
      </c>
      <c r="J10" s="10" t="inlineStr">
        <is>
          <t>30A (권장)</t>
        </is>
      </c>
      <c r="K10" s="10" t="n">
        <v>30</v>
      </c>
      <c r="L10" s="10" t="inlineStr">
        <is>
          <t>LS/Chint</t>
        </is>
      </c>
      <c r="M10" s="10" t="inlineStr">
        <is>
          <t>ABN30c</t>
        </is>
      </c>
      <c r="N10" s="10" t="inlineStr"/>
      <c r="O10" s="10" t="n"/>
    </row>
    <row r="11" ht="5" customHeight="1"/>
    <row r="12" ht="18" customHeight="1">
      <c r="A12" s="7" t="inlineStr">
        <is>
          <t>판넬 2</t>
        </is>
      </c>
      <c r="B12" s="8" t="inlineStr">
        <is>
          <t>축1</t>
        </is>
      </c>
      <c r="C12" s="8" t="n"/>
      <c r="D12" s="8" t="n"/>
      <c r="E12" s="8" t="n"/>
      <c r="F12" s="8" t="n"/>
      <c r="G12" s="8" t="n"/>
    </row>
    <row r="13" ht="18" customHeight="1">
      <c r="A13" s="7" t="inlineStr"/>
      <c r="B13" s="8" t="inlineStr">
        <is>
          <t>축2</t>
        </is>
      </c>
      <c r="C13" s="8" t="n"/>
      <c r="D13" s="8" t="n"/>
      <c r="E13" s="8" t="n"/>
      <c r="F13" s="8" t="n"/>
      <c r="G13" s="8" t="n"/>
    </row>
    <row r="14" ht="18" customHeight="1">
      <c r="A14" s="7" t="inlineStr"/>
      <c r="B14" s="8" t="inlineStr">
        <is>
          <t>축3</t>
        </is>
      </c>
      <c r="C14" s="8" t="n"/>
      <c r="D14" s="8" t="n"/>
      <c r="E14" s="8" t="n"/>
      <c r="F14" s="8" t="n"/>
      <c r="G14" s="8" t="n"/>
    </row>
    <row r="15" ht="18" customHeight="1">
      <c r="A15" s="7" t="inlineStr"/>
      <c r="B15" s="8" t="inlineStr">
        <is>
          <t>축4</t>
        </is>
      </c>
      <c r="C15" s="8" t="n"/>
      <c r="D15" s="8" t="n"/>
      <c r="E15" s="8" t="n"/>
      <c r="F15" s="8" t="n"/>
      <c r="G15" s="8" t="n"/>
    </row>
    <row r="16" ht="18" customHeight="1">
      <c r="A16" s="7" t="inlineStr"/>
      <c r="B16" s="8" t="inlineStr">
        <is>
          <t>축5</t>
        </is>
      </c>
      <c r="C16" s="8" t="n"/>
      <c r="D16" s="8" t="n"/>
      <c r="E16" s="8" t="n"/>
      <c r="F16" s="8" t="n"/>
      <c r="G16" s="8" t="n"/>
    </row>
    <row r="17" ht="18" customHeight="1">
      <c r="A17" s="7" t="inlineStr"/>
      <c r="B17" s="8" t="inlineStr">
        <is>
          <t>기타</t>
        </is>
      </c>
      <c r="C17" s="8" t="n"/>
      <c r="D17" s="8" t="n"/>
      <c r="E17" s="8" t="n"/>
      <c r="F17" s="8" t="n"/>
      <c r="G17" s="8" t="n"/>
    </row>
    <row r="18" ht="18" customHeight="1">
      <c r="A18" s="10" t="inlineStr">
        <is>
          <t>▶ 판넬 2 합계</t>
        </is>
      </c>
      <c r="H18" s="10">
        <f>SUM(F12:F17)</f>
        <v/>
      </c>
      <c r="I18" s="10">
        <f>H18*1.25</f>
        <v/>
      </c>
      <c r="J18" s="10" t="n"/>
      <c r="K18" s="10" t="n"/>
      <c r="L18" s="10" t="n"/>
      <c r="M18" s="10" t="n"/>
      <c r="N18" s="10" t="n"/>
      <c r="O18" s="10" t="n"/>
    </row>
  </sheetData>
  <mergeCells count="11">
    <mergeCell ref="B4:B5"/>
    <mergeCell ref="A18:G18"/>
    <mergeCell ref="C4:C5"/>
    <mergeCell ref="A4:A5"/>
    <mergeCell ref="F4:F5"/>
    <mergeCell ref="D4:D5"/>
    <mergeCell ref="E4:E5"/>
    <mergeCell ref="G4:G5"/>
    <mergeCell ref="A1:O1"/>
    <mergeCell ref="H4:O4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8" customWidth="1" min="4" max="4"/>
    <col width="22" customWidth="1" min="5" max="5"/>
  </cols>
  <sheetData>
    <row r="1" ht="22" customHeight="1">
      <c r="A1" s="11" t="inlineStr">
        <is>
          <t>차단기 규격 참조표 (MCCB / MCB 3P, AC 220V)</t>
        </is>
      </c>
    </row>
    <row r="2" ht="5" customHeight="1"/>
    <row r="3" ht="28" customHeight="1">
      <c r="A3" s="4" t="inlineStr">
        <is>
          <t>정격전류
(A)</t>
        </is>
      </c>
      <c r="B3" s="4" t="inlineStr">
        <is>
          <t>적용 부하전류
범위(A)</t>
        </is>
      </c>
      <c r="C3" s="4" t="inlineStr">
        <is>
          <t>제조사</t>
        </is>
      </c>
      <c r="D3" s="4" t="inlineStr">
        <is>
          <t>모델 (3P)</t>
        </is>
      </c>
      <c r="E3" s="4" t="inlineStr">
        <is>
          <t>비고</t>
        </is>
      </c>
    </row>
    <row r="4" ht="16" customHeight="1">
      <c r="A4" s="12" t="n">
        <v>3</v>
      </c>
      <c r="B4" s="8" t="inlineStr">
        <is>
          <t>~2.4A</t>
        </is>
      </c>
      <c r="C4" s="8" t="inlineStr">
        <is>
          <t>LS/Chint</t>
        </is>
      </c>
      <c r="D4" s="8" t="inlineStr">
        <is>
          <t>ABN3c / NXB-63</t>
        </is>
      </c>
      <c r="E4" s="8" t="inlineStr">
        <is>
          <t>조명, 소형 제어회로</t>
        </is>
      </c>
    </row>
    <row r="5" ht="16" customHeight="1">
      <c r="A5" s="12" t="n">
        <v>5</v>
      </c>
      <c r="B5" s="8" t="inlineStr">
        <is>
          <t>2.4~4A</t>
        </is>
      </c>
      <c r="C5" s="8" t="inlineStr">
        <is>
          <t>LS/Chint</t>
        </is>
      </c>
      <c r="D5" s="8" t="inlineStr">
        <is>
          <t>ABN5c / NXB-63</t>
        </is>
      </c>
      <c r="E5" s="8" t="inlineStr">
        <is>
          <t>소형 I/O, 팬</t>
        </is>
      </c>
    </row>
    <row r="6" ht="16" customHeight="1">
      <c r="A6" s="12" t="n">
        <v>10</v>
      </c>
      <c r="B6" s="8" t="inlineStr">
        <is>
          <t>4~8A</t>
        </is>
      </c>
      <c r="C6" s="8" t="inlineStr">
        <is>
          <t>LS/Chint</t>
        </is>
      </c>
      <c r="D6" s="8" t="inlineStr">
        <is>
          <t>ABN10c / NXB-63</t>
        </is>
      </c>
      <c r="E6" s="8" t="inlineStr">
        <is>
          <t>소형 서보 1~2축</t>
        </is>
      </c>
    </row>
    <row r="7" ht="16" customHeight="1">
      <c r="A7" s="12" t="n">
        <v>15</v>
      </c>
      <c r="B7" s="8" t="inlineStr">
        <is>
          <t>8~12A</t>
        </is>
      </c>
      <c r="C7" s="8" t="inlineStr">
        <is>
          <t>LS/Chint</t>
        </is>
      </c>
      <c r="D7" s="8" t="inlineStr">
        <is>
          <t>ABN15c / NXB-63</t>
        </is>
      </c>
      <c r="E7" s="8" t="inlineStr"/>
    </row>
    <row r="8" ht="16" customHeight="1">
      <c r="A8" s="12" t="n">
        <v>20</v>
      </c>
      <c r="B8" s="8" t="inlineStr">
        <is>
          <t>12~16A</t>
        </is>
      </c>
      <c r="C8" s="8" t="inlineStr">
        <is>
          <t>LS/Chint</t>
        </is>
      </c>
      <c r="D8" s="8" t="inlineStr">
        <is>
          <t>ABN20c / NXB-63</t>
        </is>
      </c>
      <c r="E8" s="8" t="inlineStr">
        <is>
          <t>중형 서보</t>
        </is>
      </c>
    </row>
    <row r="9" ht="16" customHeight="1">
      <c r="A9" s="12" t="n">
        <v>25</v>
      </c>
      <c r="B9" s="8" t="inlineStr">
        <is>
          <t>16~20A</t>
        </is>
      </c>
      <c r="C9" s="8" t="inlineStr">
        <is>
          <t>LS/Chint</t>
        </is>
      </c>
      <c r="D9" s="8" t="inlineStr">
        <is>
          <t>ABN25c / NXB-63</t>
        </is>
      </c>
      <c r="E9" s="8" t="inlineStr"/>
    </row>
    <row r="10" ht="16" customHeight="1">
      <c r="A10" s="12" t="n">
        <v>30</v>
      </c>
      <c r="B10" s="8" t="inlineStr">
        <is>
          <t>20~24A</t>
        </is>
      </c>
      <c r="C10" s="8" t="inlineStr">
        <is>
          <t>LS/Chint</t>
        </is>
      </c>
      <c r="D10" s="8" t="inlineStr">
        <is>
          <t>ABN30c / NXB-63</t>
        </is>
      </c>
      <c r="E10" s="8" t="inlineStr">
        <is>
          <t>다축 서보 판넬</t>
        </is>
      </c>
    </row>
    <row r="11" ht="16" customHeight="1">
      <c r="A11" s="12" t="n">
        <v>40</v>
      </c>
      <c r="B11" s="8" t="inlineStr">
        <is>
          <t>24~32A</t>
        </is>
      </c>
      <c r="C11" s="8" t="inlineStr">
        <is>
          <t>LS/Chint</t>
        </is>
      </c>
      <c r="D11" s="8" t="inlineStr">
        <is>
          <t>ABN40c</t>
        </is>
      </c>
      <c r="E11" s="8" t="inlineStr"/>
    </row>
    <row r="12" ht="16" customHeight="1">
      <c r="A12" s="12" t="n">
        <v>50</v>
      </c>
      <c r="B12" s="8" t="inlineStr">
        <is>
          <t>32~40A</t>
        </is>
      </c>
      <c r="C12" s="8" t="inlineStr">
        <is>
          <t>LS/Chint</t>
        </is>
      </c>
      <c r="D12" s="8" t="inlineStr">
        <is>
          <t>ABN50c</t>
        </is>
      </c>
      <c r="E12" s="8" t="inlineStr"/>
    </row>
    <row r="13" ht="16" customHeight="1">
      <c r="A13" s="12" t="n">
        <v>63</v>
      </c>
      <c r="B13" s="8" t="inlineStr">
        <is>
          <t>40~50A</t>
        </is>
      </c>
      <c r="C13" s="8" t="inlineStr">
        <is>
          <t>LS/Chint</t>
        </is>
      </c>
      <c r="D13" s="8" t="inlineStr">
        <is>
          <t>ABN63c</t>
        </is>
      </c>
      <c r="E13" s="8" t="inlineStr">
        <is>
          <t>대형 판넬</t>
        </is>
      </c>
    </row>
    <row r="14" ht="16" customHeight="1">
      <c r="A14" s="12" t="n">
        <v>75</v>
      </c>
      <c r="B14" s="8" t="inlineStr">
        <is>
          <t>50~60A</t>
        </is>
      </c>
      <c r="C14" s="8" t="inlineStr">
        <is>
          <t>LS/Chint</t>
        </is>
      </c>
      <c r="D14" s="8" t="inlineStr">
        <is>
          <t>ABN75c</t>
        </is>
      </c>
      <c r="E14" s="8" t="inlineStr">
        <is>
          <t>메인 차단기</t>
        </is>
      </c>
    </row>
    <row r="15" ht="16" customHeight="1">
      <c r="A15" s="12" t="n">
        <v>100</v>
      </c>
      <c r="B15" s="8" t="inlineStr">
        <is>
          <t>60~80A</t>
        </is>
      </c>
      <c r="C15" s="8" t="inlineStr">
        <is>
          <t>LS/Chint</t>
        </is>
      </c>
      <c r="D15" s="8" t="inlineStr">
        <is>
          <t>ABN100c</t>
        </is>
      </c>
      <c r="E15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2026-04-03T03:07:43Z</dcterms:created>
  <dcterms:modified xmlns:dcterms="http://purl.org/dc/terms/" xmlns:xsi="http://www.w3.org/2001/XMLSchema-instance" xsi:type="dcterms:W3CDTF">2026-04-03T03:07:43Z</dcterms:modified>
</cp:coreProperties>
</file>