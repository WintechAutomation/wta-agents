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류·용량 계산표" sheetId="1" state="visible" r:id="rId1"/>
    <sheet xmlns:r="http://schemas.openxmlformats.org/officeDocument/2006/relationships" name="파나소닉 A6 규격표" sheetId="2" state="visible" r:id="rId2"/>
    <sheet xmlns:r="http://schemas.openxmlformats.org/officeDocument/2006/relationships" name="파스텍 드라이버 규격표" sheetId="3" state="visible" r:id="rId3"/>
    <sheet xmlns:r="http://schemas.openxmlformats.org/officeDocument/2006/relationships" name="차단기 규격 참조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7">
    <font>
      <name val="Calibri"/>
      <family val="2"/>
      <color theme="1"/>
      <sz val="11"/>
      <scheme val="minor"/>
    </font>
    <font>
      <name val="맑은 고딕"/>
      <b val="1"/>
      <color rgb="001F3864"/>
      <sz val="14"/>
    </font>
    <font>
      <name val="맑은 고딕"/>
      <b val="1"/>
      <color rgb="00FFFFFF"/>
      <sz val="10"/>
    </font>
    <font>
      <name val="맑은 고딕"/>
      <b val="1"/>
      <color rgb="00FFFFFF"/>
      <sz val="9"/>
    </font>
    <font>
      <name val="맑은 고딕"/>
      <b val="1"/>
      <color rgb="00000000"/>
      <sz val="9"/>
    </font>
    <font>
      <name val="맑은 고딕"/>
      <color rgb="00888888"/>
      <sz val="9"/>
    </font>
    <font>
      <name val="맑은 고딕"/>
      <color rgb="00000000"/>
      <sz val="9"/>
    </font>
    <font>
      <name val="맑은 고딕"/>
      <b val="1"/>
      <color rgb="001F3864"/>
      <sz val="9"/>
    </font>
    <font>
      <name val="맑은 고딕"/>
      <color rgb="00555555"/>
      <sz val="8"/>
    </font>
    <font>
      <name val="맑은 고딕"/>
      <b val="1"/>
      <color rgb="00000000"/>
      <sz val="10"/>
    </font>
    <font>
      <name val="맑은 고딕"/>
      <b val="1"/>
      <color rgb="00000000"/>
      <sz val="11"/>
    </font>
    <font>
      <name val="맑은 고딕"/>
      <color rgb="00555555"/>
      <sz val="9"/>
    </font>
    <font>
      <name val="맑은 고딕"/>
      <color rgb="001F3864"/>
      <sz val="8"/>
    </font>
    <font>
      <name val="Courier New"/>
      <b val="1"/>
      <color rgb="001F3864"/>
      <sz val="9"/>
    </font>
    <font>
      <name val="맑은 고딕"/>
      <color rgb="00375623"/>
      <sz val="9"/>
    </font>
    <font>
      <name val="맑은 고딕"/>
      <b val="1"/>
      <color rgb="001F3864"/>
      <sz val="12"/>
    </font>
    <font>
      <name val="맑은 고딕"/>
      <b val="1"/>
      <color rgb="001F3864"/>
      <sz val="11"/>
    </font>
  </fonts>
  <fills count="2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EBF3FB"/>
      </patternFill>
    </fill>
    <fill>
      <patternFill patternType="solid">
        <fgColor rgb="00FEF4E8"/>
      </patternFill>
    </fill>
    <fill>
      <patternFill patternType="solid">
        <fgColor rgb="00EDF7E3"/>
      </patternFill>
    </fill>
    <fill>
      <patternFill patternType="solid">
        <fgColor rgb="00F3EBF9"/>
      </patternFill>
    </fill>
    <fill>
      <patternFill patternType="solid">
        <fgColor rgb="00833C00"/>
      </patternFill>
    </fill>
    <fill>
      <patternFill patternType="solid">
        <fgColor rgb="00C55A11"/>
      </patternFill>
    </fill>
    <fill>
      <patternFill patternType="solid">
        <fgColor rgb="002F5496"/>
      </patternFill>
    </fill>
    <fill>
      <patternFill patternType="solid">
        <fgColor rgb="0000B0F0"/>
      </patternFill>
    </fill>
    <fill>
      <patternFill patternType="solid">
        <fgColor rgb="00E2EFDA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FFFF99"/>
      </patternFill>
    </fill>
    <fill>
      <patternFill patternType="solid">
        <fgColor rgb="00FFE699"/>
      </patternFill>
    </fill>
    <fill>
      <patternFill patternType="solid">
        <fgColor rgb="00F2DCDB"/>
      </patternFill>
    </fill>
    <fill>
      <patternFill patternType="solid">
        <fgColor rgb="00375623"/>
      </patternFill>
    </fill>
    <fill>
      <patternFill patternType="solid">
        <fgColor rgb="00FFF2CC"/>
      </patternFill>
    </fill>
    <fill>
      <patternFill patternType="solid">
        <fgColor rgb="00EBF3E8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4F9C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164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164" fontId="4" fillId="13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3" fillId="1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2" fontId="10" fillId="17" borderId="1" applyAlignment="1" pivotButton="0" quotePrefix="0" xfId="0">
      <alignment horizontal="center" vertical="center" wrapText="1"/>
    </xf>
    <xf numFmtId="2" fontId="9" fillId="18" borderId="1" applyAlignment="1" pivotButton="0" quotePrefix="0" xfId="0">
      <alignment horizontal="center" vertical="center" wrapText="1"/>
    </xf>
    <xf numFmtId="0" fontId="11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12" fillId="0" borderId="1" pivotButton="0" quotePrefix="0" xfId="0"/>
    <xf numFmtId="0" fontId="3" fillId="9" borderId="1" applyAlignment="1" pivotButton="0" quotePrefix="0" xfId="0">
      <alignment horizontal="left" vertical="center" wrapText="1"/>
    </xf>
    <xf numFmtId="0" fontId="11" fillId="19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left" vertical="center" wrapText="1"/>
    </xf>
    <xf numFmtId="0" fontId="13" fillId="21" borderId="1" applyAlignment="1" pivotButton="0" quotePrefix="0" xfId="0">
      <alignment horizontal="left" vertical="center" wrapText="1"/>
    </xf>
    <xf numFmtId="0" fontId="14" fillId="22" borderId="1" applyAlignment="1" pivotButton="0" quotePrefix="0" xfId="0">
      <alignment horizontal="left" vertical="center" wrapText="1"/>
    </xf>
    <xf numFmtId="0" fontId="11" fillId="21" borderId="1" applyAlignment="1" pivotButton="0" quotePrefix="0" xfId="0">
      <alignment horizontal="left" vertical="center" wrapText="1"/>
    </xf>
    <xf numFmtId="0" fontId="15" fillId="23" borderId="0" applyAlignment="1" pivotButton="0" quotePrefix="0" xfId="0">
      <alignment horizontal="center" vertical="center" wrapText="1"/>
    </xf>
    <xf numFmtId="0" fontId="6" fillId="24" borderId="1" applyAlignment="1" pivotButton="0" quotePrefix="0" xfId="0">
      <alignment horizontal="left" vertical="center" wrapText="1"/>
    </xf>
    <xf numFmtId="0" fontId="6" fillId="24" borderId="1" applyAlignment="1" pivotButton="0" quotePrefix="0" xfId="0">
      <alignment horizontal="center" vertical="center" wrapText="1"/>
    </xf>
    <xf numFmtId="0" fontId="8" fillId="21" borderId="0" applyAlignment="1" pivotButton="0" quotePrefix="0" xfId="0">
      <alignment horizontal="left" vertical="center" wrapText="1"/>
    </xf>
    <xf numFmtId="0" fontId="15" fillId="25" borderId="0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6" fillId="26" borderId="1" applyAlignment="1" pivotButton="0" quotePrefix="0" xfId="0">
      <alignment horizontal="center" vertical="center" wrapText="1"/>
    </xf>
    <xf numFmtId="0" fontId="6" fillId="2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8" customWidth="1" min="4" max="4"/>
    <col width="10" customWidth="1" min="5" max="5"/>
    <col width="6" customWidth="1" min="6" max="6"/>
    <col width="5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30" customWidth="1" min="17" max="17"/>
  </cols>
  <sheetData>
    <row r="1" ht="28" customHeight="1">
      <c r="A1" s="1" t="inlineStr">
        <is>
          <t>WTA 전장 전류·용량 계산 및 차단기 선정 종합표</t>
        </is>
      </c>
    </row>
    <row r="2" ht="18" customHeight="1">
      <c r="A2" s="2" t="inlineStr">
        <is>
          <t>▶ 전체 부하 요약 (상단 자동계산)</t>
        </is>
      </c>
    </row>
    <row r="3" ht="18" customHeight="1">
      <c r="A3" s="3" t="inlineStr">
        <is>
          <t>구분</t>
        </is>
      </c>
      <c r="B3" s="3" t="inlineStr">
        <is>
          <t>총 정격전류 (A)</t>
        </is>
      </c>
      <c r="C3" s="3" t="inlineStr">
        <is>
          <t>안전계수 ×1.25</t>
        </is>
      </c>
      <c r="D3" s="3" t="inlineStr">
        <is>
          <t>권장 차단기 (A)</t>
        </is>
      </c>
      <c r="E3" s="3" t="inlineStr">
        <is>
          <t>총 부하 (kVA)</t>
        </is>
      </c>
      <c r="F3" s="3" t="inlineStr">
        <is>
          <t>비고</t>
        </is>
      </c>
    </row>
    <row r="4" ht="16" customHeight="1">
      <c r="A4" s="4" t="inlineStr">
        <is>
          <t>AC 3상 220V (서보드라이버)</t>
        </is>
      </c>
      <c r="B4" s="5">
        <f>E27</f>
        <v/>
      </c>
      <c r="C4" s="5">
        <f>B4*1.25</f>
        <v/>
      </c>
      <c r="D4" s="6" t="inlineStr">
        <is>
          <t>→ Sheet3 참조</t>
        </is>
      </c>
      <c r="E4" s="7" t="inlineStr">
        <is>
          <t>→ 하단 계산</t>
        </is>
      </c>
      <c r="F4" s="7" t="inlineStr">
        <is>
          <t>→ 하단 계산</t>
        </is>
      </c>
    </row>
    <row r="5" ht="16" customHeight="1">
      <c r="A5" s="8" t="inlineStr">
        <is>
          <t>AC 단상 220V (파스텍 외)</t>
        </is>
      </c>
      <c r="B5" s="9">
        <f>E51</f>
        <v/>
      </c>
      <c r="C5" s="9">
        <f>B5*1.25</f>
        <v/>
      </c>
      <c r="D5" s="10" t="inlineStr">
        <is>
          <t>→ Sheet3 참조</t>
        </is>
      </c>
      <c r="E5" s="11" t="inlineStr">
        <is>
          <t>→ 하단 계산</t>
        </is>
      </c>
      <c r="F5" s="11" t="inlineStr">
        <is>
          <t>→ 하단 계산</t>
        </is>
      </c>
    </row>
    <row r="6" ht="16" customHeight="1">
      <c r="A6" s="12" t="inlineStr">
        <is>
          <t>DC 24V (I/O·센서·팬 등)</t>
        </is>
      </c>
      <c r="B6" s="13">
        <f>E43</f>
        <v/>
      </c>
      <c r="C6" s="13">
        <f>B6*1.25</f>
        <v/>
      </c>
      <c r="D6" s="14" t="inlineStr">
        <is>
          <t>→ Sheet3 참조</t>
        </is>
      </c>
      <c r="E6" s="15" t="inlineStr">
        <is>
          <t>→ 하단 계산</t>
        </is>
      </c>
      <c r="F6" s="15" t="inlineStr">
        <is>
          <t>→ 하단 계산</t>
        </is>
      </c>
    </row>
    <row r="7" ht="16" customHeight="1">
      <c r="A7" s="16" t="inlineStr">
        <is>
          <t>기타 부하 (HMI·조명 등)</t>
        </is>
      </c>
      <c r="B7" s="17">
        <f>E35</f>
        <v/>
      </c>
      <c r="C7" s="17">
        <f>B7*1.25</f>
        <v/>
      </c>
      <c r="D7" s="18" t="inlineStr">
        <is>
          <t>→ Sheet3 참조</t>
        </is>
      </c>
      <c r="E7" s="19" t="inlineStr">
        <is>
          <t>→ 하단 계산</t>
        </is>
      </c>
      <c r="F7" s="19" t="inlineStr">
        <is>
          <t>→ 하단 계산</t>
        </is>
      </c>
    </row>
    <row r="8" ht="6" customHeight="1"/>
    <row r="9" ht="18" customHeight="1">
      <c r="A9" s="20" t="inlineStr">
        <is>
          <t>▶ R/S/T 상별 전류 편중 분석</t>
        </is>
      </c>
    </row>
    <row r="10" ht="18" customHeight="1">
      <c r="A10" s="21" t="inlineStr"/>
      <c r="B10" s="21" t="inlineStr">
        <is>
          <t>R상 (A)</t>
        </is>
      </c>
      <c r="C10" s="21" t="inlineStr">
        <is>
          <t>S상 (A)</t>
        </is>
      </c>
      <c r="D10" s="21" t="inlineStr">
        <is>
          <t>T상 (A)</t>
        </is>
      </c>
      <c r="E10" s="21" t="inlineStr">
        <is>
          <t>최대-최소 (A)</t>
        </is>
      </c>
      <c r="F10" s="21" t="inlineStr">
        <is>
          <t>불균형률 (%)</t>
        </is>
      </c>
      <c r="G10" s="21" t="inlineStr">
        <is>
          <t>판정</t>
        </is>
      </c>
      <c r="H10" s="21" t="inlineStr">
        <is>
          <t>기준: 불균형률 10% 이하 권장</t>
        </is>
      </c>
    </row>
    <row r="11" ht="16" customHeight="1">
      <c r="A11" s="22" t="inlineStr">
        <is>
          <t>AC 3상 서보드라이버</t>
        </is>
      </c>
      <c r="B11" s="23" t="inlineStr"/>
      <c r="C11" s="23" t="inlineStr"/>
      <c r="D11" s="23" t="inlineStr"/>
      <c r="E11" s="23" t="inlineStr"/>
      <c r="F11" s="23" t="inlineStr"/>
      <c r="G11" s="23" t="inlineStr"/>
      <c r="H11" s="23" t="inlineStr"/>
    </row>
    <row r="12" ht="16" customHeight="1">
      <c r="A12" s="22" t="inlineStr">
        <is>
          <t>AC 3상 기타</t>
        </is>
      </c>
      <c r="B12" s="23" t="inlineStr"/>
      <c r="C12" s="23" t="inlineStr"/>
      <c r="D12" s="23" t="inlineStr"/>
      <c r="E12" s="23" t="inlineStr"/>
      <c r="F12" s="23" t="inlineStr"/>
      <c r="G12" s="23" t="inlineStr"/>
      <c r="H12" s="23" t="inlineStr"/>
    </row>
    <row r="13" ht="16" customHeight="1">
      <c r="A13" s="22" t="inlineStr">
        <is>
          <t>전체 합계</t>
        </is>
      </c>
      <c r="B13" s="23" t="inlineStr"/>
      <c r="C13" s="23" t="inlineStr"/>
      <c r="D13" s="23" t="inlineStr"/>
      <c r="E13" s="23" t="inlineStr"/>
      <c r="F13" s="23" t="inlineStr"/>
      <c r="G13" s="23" t="inlineStr"/>
      <c r="H13" s="23" t="inlineStr"/>
    </row>
    <row r="14" ht="6" customHeight="1"/>
    <row r="15" ht="20" customHeight="1">
      <c r="A15" s="24" t="inlineStr">
        <is>
          <t>판넬</t>
        </is>
      </c>
      <c r="B15" s="24" t="inlineStr">
        <is>
          <t>축/유닛명</t>
        </is>
      </c>
      <c r="C15" s="24" t="inlineStr">
        <is>
          <t>드라이버/장치 모델</t>
        </is>
      </c>
      <c r="D15" s="24" t="inlineStr">
        <is>
          <t>출력
(W)</t>
        </is>
      </c>
      <c r="E15" s="24" t="inlineStr">
        <is>
          <t>정격전류
(A)</t>
        </is>
      </c>
      <c r="F15" s="24" t="inlineStr">
        <is>
          <t>상수</t>
        </is>
      </c>
      <c r="G15" s="24" t="inlineStr">
        <is>
          <t>R상
할당</t>
        </is>
      </c>
      <c r="H15" s="24" t="inlineStr">
        <is>
          <t>S상
할당</t>
        </is>
      </c>
      <c r="I15" s="24" t="inlineStr">
        <is>
          <t>T상
할당</t>
        </is>
      </c>
      <c r="J15" s="24" t="inlineStr">
        <is>
          <t>운전전류
(A)</t>
        </is>
      </c>
      <c r="K15" s="3" t="inlineStr">
        <is>
          <t>전원 구분 (체크)</t>
        </is>
      </c>
      <c r="O15" s="24" t="inlineStr">
        <is>
          <t>차단기
선정 (A)</t>
        </is>
      </c>
      <c r="P15" s="24" t="inlineStr">
        <is>
          <t>제조사/
모델</t>
        </is>
      </c>
      <c r="Q15" s="25" t="inlineStr">
        <is>
          <t>비고 / 수식 설명</t>
        </is>
      </c>
    </row>
    <row r="16" ht="24" customHeight="1">
      <c r="K16" s="3" t="inlineStr">
        <is>
          <t>AC 3상
220V</t>
        </is>
      </c>
      <c r="L16" s="3" t="inlineStr">
        <is>
          <t>AC 단상
220V</t>
        </is>
      </c>
      <c r="M16" s="3" t="inlineStr">
        <is>
          <t>DC 24V</t>
        </is>
      </c>
      <c r="N16" s="3" t="inlineStr">
        <is>
          <t>기타</t>
        </is>
      </c>
    </row>
    <row r="17" ht="16" customHeight="1">
      <c r="A17" s="26" t="inlineStr">
        <is>
          <t>■ 파나소닉 A6 서보드라이버 (AC 3상 220V)</t>
        </is>
      </c>
    </row>
    <row r="18" ht="17" customHeight="1">
      <c r="A18" s="27" t="inlineStr">
        <is>
          <t>판넬1</t>
        </is>
      </c>
      <c r="B18" s="28" t="inlineStr">
        <is>
          <t>LO_Y</t>
        </is>
      </c>
      <c r="C18" s="28" t="inlineStr">
        <is>
          <t>MDDLN85BL (1.5kW)</t>
        </is>
      </c>
      <c r="D18" s="6" t="n">
        <v>1500</v>
      </c>
      <c r="E18" s="6" t="n">
        <v>5.5</v>
      </c>
      <c r="F18" s="6" t="n">
        <v>3</v>
      </c>
      <c r="G18" s="6" t="n">
        <v>1</v>
      </c>
      <c r="H18" s="6" t="n">
        <v>1</v>
      </c>
      <c r="I18" s="6" t="n">
        <v>1</v>
      </c>
      <c r="J18" s="6" t="n">
        <v>3.85</v>
      </c>
      <c r="K18" s="6" t="inlineStr">
        <is>
          <t>●</t>
        </is>
      </c>
      <c r="L18" s="6" t="inlineStr"/>
      <c r="M18" s="6" t="inlineStr"/>
      <c r="N18" s="6" t="inlineStr"/>
      <c r="O18" s="6" t="inlineStr"/>
      <c r="P18" s="6" t="inlineStr"/>
      <c r="Q18" s="28" t="inlineStr">
        <is>
          <t>I = VA/(√3×220×PF=0.95) ≈ VA/362</t>
        </is>
      </c>
    </row>
    <row r="19" ht="17" customHeight="1">
      <c r="A19" s="27" t="inlineStr">
        <is>
          <t>판넬1</t>
        </is>
      </c>
      <c r="B19" s="28" t="inlineStr">
        <is>
          <t>LO_X</t>
        </is>
      </c>
      <c r="C19" s="28" t="inlineStr">
        <is>
          <t>MCDLN35BL (750W)</t>
        </is>
      </c>
      <c r="D19" s="6" t="n">
        <v>750</v>
      </c>
      <c r="E19" s="6" t="n">
        <v>2.4</v>
      </c>
      <c r="F19" s="6" t="n">
        <v>3</v>
      </c>
      <c r="G19" s="6" t="n">
        <v>1</v>
      </c>
      <c r="H19" s="6" t="n">
        <v>0</v>
      </c>
      <c r="I19" s="6" t="n">
        <v>1</v>
      </c>
      <c r="J19" s="6" t="n">
        <v>1.68</v>
      </c>
      <c r="K19" s="6" t="inlineStr">
        <is>
          <t>●</t>
        </is>
      </c>
      <c r="L19" s="6" t="inlineStr"/>
      <c r="M19" s="6" t="inlineStr"/>
      <c r="N19" s="6" t="inlineStr"/>
      <c r="O19" s="6" t="inlineStr"/>
      <c r="P19" s="6" t="inlineStr"/>
      <c r="Q19" s="28" t="inlineStr">
        <is>
          <t>Panasonic A6 — MCDLN35BL</t>
        </is>
      </c>
    </row>
    <row r="20" ht="17" customHeight="1">
      <c r="A20" s="27" t="inlineStr">
        <is>
          <t>판넬1</t>
        </is>
      </c>
      <c r="B20" s="28" t="inlineStr">
        <is>
          <t>LO_Z</t>
        </is>
      </c>
      <c r="C20" s="28" t="inlineStr">
        <is>
          <t>MADLN15BE (200W)</t>
        </is>
      </c>
      <c r="D20" s="6" t="n">
        <v>200</v>
      </c>
      <c r="E20" s="6" t="n">
        <v>1</v>
      </c>
      <c r="F20" s="6" t="n">
        <v>3</v>
      </c>
      <c r="G20" s="6" t="n">
        <v>0</v>
      </c>
      <c r="H20" s="6" t="n">
        <v>1</v>
      </c>
      <c r="I20" s="6" t="n">
        <v>0</v>
      </c>
      <c r="J20" s="6" t="n">
        <v>0.7</v>
      </c>
      <c r="K20" s="6" t="inlineStr">
        <is>
          <t>●</t>
        </is>
      </c>
      <c r="L20" s="6" t="inlineStr"/>
      <c r="M20" s="6" t="inlineStr"/>
      <c r="N20" s="6" t="inlineStr"/>
      <c r="O20" s="6" t="inlineStr"/>
      <c r="P20" s="6" t="inlineStr"/>
      <c r="Q20" s="28" t="inlineStr">
        <is>
          <t>Panasonic A6 — MADLN15BE</t>
        </is>
      </c>
    </row>
    <row r="21" ht="17" customHeight="1">
      <c r="A21" s="27" t="inlineStr">
        <is>
          <t>판넬1</t>
        </is>
      </c>
      <c r="B21" s="28" t="inlineStr">
        <is>
          <t>ULO_Y</t>
        </is>
      </c>
      <c r="C21" s="28" t="inlineStr">
        <is>
          <t>MCDLN35BL (750W)</t>
        </is>
      </c>
      <c r="D21" s="6" t="n">
        <v>750</v>
      </c>
      <c r="E21" s="6" t="n">
        <v>2.4</v>
      </c>
      <c r="F21" s="6" t="n">
        <v>3</v>
      </c>
      <c r="G21" s="6" t="n">
        <v>1</v>
      </c>
      <c r="H21" s="6" t="n">
        <v>1</v>
      </c>
      <c r="I21" s="6" t="n">
        <v>0</v>
      </c>
      <c r="J21" s="6" t="n">
        <v>1.68</v>
      </c>
      <c r="K21" s="6" t="inlineStr">
        <is>
          <t>●</t>
        </is>
      </c>
      <c r="L21" s="6" t="inlineStr"/>
      <c r="M21" s="6" t="inlineStr"/>
      <c r="N21" s="6" t="inlineStr"/>
      <c r="O21" s="6" t="inlineStr"/>
      <c r="P21" s="6" t="inlineStr"/>
      <c r="Q21" s="28" t="inlineStr">
        <is>
          <t>Panasonic A6 — MCDLN35BL</t>
        </is>
      </c>
    </row>
    <row r="22" ht="17" customHeight="1">
      <c r="A22" s="27" t="inlineStr">
        <is>
          <t>판넬1</t>
        </is>
      </c>
      <c r="B22" s="28" t="inlineStr">
        <is>
          <t>ULO_X</t>
        </is>
      </c>
      <c r="C22" s="28" t="inlineStr">
        <is>
          <t>MCDLN35BL (750W)</t>
        </is>
      </c>
      <c r="D22" s="6" t="n">
        <v>750</v>
      </c>
      <c r="E22" s="6" t="n">
        <v>2.4</v>
      </c>
      <c r="F22" s="6" t="n">
        <v>3</v>
      </c>
      <c r="G22" s="6" t="n">
        <v>0</v>
      </c>
      <c r="H22" s="6" t="n">
        <v>1</v>
      </c>
      <c r="I22" s="6" t="n">
        <v>1</v>
      </c>
      <c r="J22" s="6" t="n">
        <v>1.68</v>
      </c>
      <c r="K22" s="6" t="inlineStr">
        <is>
          <t>●</t>
        </is>
      </c>
      <c r="L22" s="6" t="inlineStr"/>
      <c r="M22" s="6" t="inlineStr"/>
      <c r="N22" s="6" t="inlineStr"/>
      <c r="O22" s="6" t="inlineStr"/>
      <c r="P22" s="6" t="inlineStr"/>
      <c r="Q22" s="28" t="inlineStr">
        <is>
          <t>Panasonic A6 — MCDLN35BL</t>
        </is>
      </c>
    </row>
    <row r="23" ht="17" customHeight="1">
      <c r="A23" s="27" t="inlineStr">
        <is>
          <t>판넬1</t>
        </is>
      </c>
      <c r="B23" s="28" t="inlineStr">
        <is>
          <t>ULO_Z</t>
        </is>
      </c>
      <c r="C23" s="28" t="inlineStr">
        <is>
          <t>MADLN05BE (100W)</t>
        </is>
      </c>
      <c r="D23" s="6" t="n">
        <v>100</v>
      </c>
      <c r="E23" s="6" t="n">
        <v>0.5</v>
      </c>
      <c r="F23" s="6" t="n">
        <v>3</v>
      </c>
      <c r="G23" s="6" t="n">
        <v>1</v>
      </c>
      <c r="H23" s="6" t="n">
        <v>0</v>
      </c>
      <c r="I23" s="6" t="n">
        <v>0</v>
      </c>
      <c r="J23" s="6" t="n">
        <v>0.35</v>
      </c>
      <c r="K23" s="6" t="inlineStr">
        <is>
          <t>●</t>
        </is>
      </c>
      <c r="L23" s="6" t="inlineStr"/>
      <c r="M23" s="6" t="inlineStr"/>
      <c r="N23" s="6" t="inlineStr"/>
      <c r="O23" s="6" t="inlineStr"/>
      <c r="P23" s="6" t="inlineStr"/>
      <c r="Q23" s="28" t="inlineStr">
        <is>
          <t>Panasonic A6 — MADLN05BE</t>
        </is>
      </c>
    </row>
    <row r="24" ht="17" customHeight="1">
      <c r="A24" s="27" t="inlineStr">
        <is>
          <t>판넬1</t>
        </is>
      </c>
      <c r="B24" s="28" t="inlineStr">
        <is>
          <t>NG_EV</t>
        </is>
      </c>
      <c r="C24" s="28" t="inlineStr">
        <is>
          <t>MCDLN35BE (750W)</t>
        </is>
      </c>
      <c r="D24" s="6" t="n">
        <v>750</v>
      </c>
      <c r="E24" s="6" t="n">
        <v>2.4</v>
      </c>
      <c r="F24" s="6" t="n">
        <v>3</v>
      </c>
      <c r="G24" s="6" t="n">
        <v>0</v>
      </c>
      <c r="H24" s="6" t="n">
        <v>1</v>
      </c>
      <c r="I24" s="6" t="n">
        <v>0</v>
      </c>
      <c r="J24" s="6" t="n">
        <v>1.68</v>
      </c>
      <c r="K24" s="6" t="inlineStr">
        <is>
          <t>●</t>
        </is>
      </c>
      <c r="L24" s="6" t="inlineStr"/>
      <c r="M24" s="6" t="inlineStr"/>
      <c r="N24" s="6" t="inlineStr"/>
      <c r="O24" s="6" t="inlineStr"/>
      <c r="P24" s="6" t="inlineStr"/>
      <c r="Q24" s="28" t="inlineStr">
        <is>
          <t>Panasonic A6 — MCDLN35BE</t>
        </is>
      </c>
    </row>
    <row r="25" ht="17" customHeight="1">
      <c r="A25" s="27" t="inlineStr">
        <is>
          <t>판넬1</t>
        </is>
      </c>
      <c r="B25" s="28" t="inlineStr">
        <is>
          <t>NG_FD</t>
        </is>
      </c>
      <c r="C25" s="28" t="inlineStr">
        <is>
          <t>MADLN05BE (100W)</t>
        </is>
      </c>
      <c r="D25" s="6" t="n">
        <v>100</v>
      </c>
      <c r="E25" s="6" t="n">
        <v>0.5</v>
      </c>
      <c r="F25" s="6" t="n">
        <v>3</v>
      </c>
      <c r="G25" s="6" t="n">
        <v>0</v>
      </c>
      <c r="H25" s="6" t="n">
        <v>0</v>
      </c>
      <c r="I25" s="6" t="n">
        <v>1</v>
      </c>
      <c r="J25" s="6" t="n">
        <v>0.35</v>
      </c>
      <c r="K25" s="6" t="inlineStr">
        <is>
          <t>●</t>
        </is>
      </c>
      <c r="L25" s="6" t="inlineStr"/>
      <c r="M25" s="6" t="inlineStr"/>
      <c r="N25" s="6" t="inlineStr"/>
      <c r="O25" s="6" t="inlineStr"/>
      <c r="P25" s="6" t="inlineStr"/>
      <c r="Q25" s="28" t="inlineStr">
        <is>
          <t>Panasonic A6 — MADLN05BE</t>
        </is>
      </c>
    </row>
    <row r="26" ht="17" customHeight="1">
      <c r="A26" s="27" t="inlineStr">
        <is>
          <t>판넬1</t>
        </is>
      </c>
      <c r="B26" s="28" t="inlineStr">
        <is>
          <t>NG_FD_Z</t>
        </is>
      </c>
      <c r="C26" s="28" t="inlineStr">
        <is>
          <t>MBDLN25BE (400W)</t>
        </is>
      </c>
      <c r="D26" s="6" t="n">
        <v>400</v>
      </c>
      <c r="E26" s="6" t="n">
        <v>1.5</v>
      </c>
      <c r="F26" s="6" t="n">
        <v>3</v>
      </c>
      <c r="G26" s="6" t="n">
        <v>1</v>
      </c>
      <c r="H26" s="6" t="n">
        <v>1</v>
      </c>
      <c r="I26" s="6" t="n">
        <v>0</v>
      </c>
      <c r="J26" s="6" t="n">
        <v>1.05</v>
      </c>
      <c r="K26" s="6" t="inlineStr">
        <is>
          <t>●</t>
        </is>
      </c>
      <c r="L26" s="6" t="inlineStr"/>
      <c r="M26" s="6" t="inlineStr"/>
      <c r="N26" s="6" t="inlineStr"/>
      <c r="O26" s="6" t="inlineStr"/>
      <c r="P26" s="6" t="inlineStr"/>
      <c r="Q26" s="28" t="inlineStr">
        <is>
          <t>Panasonic A6 — MBDLN25BE</t>
        </is>
      </c>
    </row>
    <row r="27" ht="17" customHeight="1">
      <c r="A27" s="29" t="inlineStr">
        <is>
          <t xml:space="preserve">  파나소닉 A6 소계</t>
        </is>
      </c>
      <c r="D27" s="30" t="n"/>
      <c r="E27" s="31">
        <f>SUM(E18:E26)</f>
        <v/>
      </c>
      <c r="F27" s="30" t="n"/>
      <c r="G27" s="30" t="n"/>
      <c r="H27" s="30" t="n"/>
      <c r="I27" s="30" t="n"/>
      <c r="J27" s="31">
        <f>SUM(J18:J26)</f>
        <v/>
      </c>
      <c r="K27" s="30" t="n"/>
      <c r="L27" s="30" t="n"/>
      <c r="M27" s="30" t="n"/>
      <c r="N27" s="30" t="n"/>
      <c r="O27" s="30" t="n"/>
      <c r="P27" s="30" t="n"/>
      <c r="Q27" s="32" t="inlineStr">
        <is>
          <t>정격전류 합계 / 운전전류 합계 (SUM 수식)</t>
        </is>
      </c>
    </row>
    <row r="29" ht="16" customHeight="1">
      <c r="A29" s="33" t="inlineStr">
        <is>
          <t>■ 파스텍(Fastech) 스텝드라이버</t>
        </is>
      </c>
    </row>
    <row r="30" ht="17" customHeight="1">
      <c r="A30" s="34" t="inlineStr">
        <is>
          <t>판넬2</t>
        </is>
      </c>
      <c r="B30" s="35" t="inlineStr">
        <is>
          <t>X1</t>
        </is>
      </c>
      <c r="C30" s="35" t="inlineStr">
        <is>
          <t>EM542S (DC 24-50V, 4.2A max)</t>
        </is>
      </c>
      <c r="D30" s="10" t="n">
        <v>0</v>
      </c>
      <c r="E30" s="10" t="n">
        <v>4.2</v>
      </c>
      <c r="F30" s="10" t="n">
        <v>1</v>
      </c>
      <c r="G30" s="10" t="n">
        <v>0</v>
      </c>
      <c r="H30" s="10" t="n">
        <v>0</v>
      </c>
      <c r="I30" s="10" t="n">
        <v>0</v>
      </c>
      <c r="J30" s="10" t="n">
        <v>2.1</v>
      </c>
      <c r="K30" s="10" t="inlineStr"/>
      <c r="L30" s="10" t="inlineStr"/>
      <c r="M30" s="10" t="inlineStr">
        <is>
          <t>●</t>
        </is>
      </c>
      <c r="N30" s="10" t="inlineStr"/>
      <c r="O30" s="10" t="inlineStr"/>
      <c r="P30" s="10" t="inlineStr"/>
      <c r="Q30" s="35" t="inlineStr">
        <is>
          <t>DC입력: I_dc=P_w/V_dc, V_dc=48V 기준</t>
        </is>
      </c>
    </row>
    <row r="31" ht="17" customHeight="1">
      <c r="A31" s="34" t="inlineStr">
        <is>
          <t>판넬2</t>
        </is>
      </c>
      <c r="B31" s="35" t="inlineStr">
        <is>
          <t>X2</t>
        </is>
      </c>
      <c r="C31" s="35" t="inlineStr">
        <is>
          <t>EM542S (DC 24-50V, 4.2A max)</t>
        </is>
      </c>
      <c r="D31" s="10" t="n">
        <v>0</v>
      </c>
      <c r="E31" s="10" t="n">
        <v>4.2</v>
      </c>
      <c r="F31" s="10" t="n">
        <v>1</v>
      </c>
      <c r="G31" s="10" t="n">
        <v>0</v>
      </c>
      <c r="H31" s="10" t="n">
        <v>0</v>
      </c>
      <c r="I31" s="10" t="n">
        <v>0</v>
      </c>
      <c r="J31" s="10" t="n">
        <v>2.1</v>
      </c>
      <c r="K31" s="10" t="inlineStr"/>
      <c r="L31" s="10" t="inlineStr"/>
      <c r="M31" s="10" t="inlineStr">
        <is>
          <t>●</t>
        </is>
      </c>
      <c r="N31" s="10" t="inlineStr"/>
      <c r="O31" s="10" t="inlineStr"/>
      <c r="P31" s="10" t="inlineStr"/>
      <c r="Q31" s="35" t="inlineStr">
        <is>
          <t>DC입력: 스텝모터 구동전류 설정값</t>
        </is>
      </c>
    </row>
    <row r="32" ht="17" customHeight="1">
      <c r="A32" s="34" t="inlineStr">
        <is>
          <t>판넬2</t>
        </is>
      </c>
      <c r="B32" s="35" t="inlineStr">
        <is>
          <t>Y1</t>
        </is>
      </c>
      <c r="C32" s="35" t="inlineStr">
        <is>
          <t>EM806  (DC 24-80V, 8.0A max)</t>
        </is>
      </c>
      <c r="D32" s="10" t="n">
        <v>0</v>
      </c>
      <c r="E32" s="10" t="n">
        <v>8</v>
      </c>
      <c r="F32" s="10" t="n">
        <v>1</v>
      </c>
      <c r="G32" s="10" t="n">
        <v>0</v>
      </c>
      <c r="H32" s="10" t="n">
        <v>0</v>
      </c>
      <c r="I32" s="10" t="n">
        <v>0</v>
      </c>
      <c r="J32" s="10" t="n">
        <v>4</v>
      </c>
      <c r="K32" s="10" t="inlineStr"/>
      <c r="L32" s="10" t="inlineStr"/>
      <c r="M32" s="10" t="inlineStr">
        <is>
          <t>●</t>
        </is>
      </c>
      <c r="N32" s="10" t="inlineStr"/>
      <c r="O32" s="10" t="inlineStr"/>
      <c r="P32" s="10" t="inlineStr"/>
      <c r="Q32" s="35" t="inlineStr">
        <is>
          <t>DC입력: EM806 — 고토크용</t>
        </is>
      </c>
    </row>
    <row r="33" ht="17" customHeight="1">
      <c r="A33" s="34" t="inlineStr">
        <is>
          <t>판넬2</t>
        </is>
      </c>
      <c r="B33" s="35" t="inlineStr">
        <is>
          <t>Y2</t>
        </is>
      </c>
      <c r="C33" s="35" t="inlineStr">
        <is>
          <t>EM806  (DC 24-80V, 8.0A max)</t>
        </is>
      </c>
      <c r="D33" s="10" t="n">
        <v>0</v>
      </c>
      <c r="E33" s="10" t="n">
        <v>8</v>
      </c>
      <c r="F33" s="10" t="n">
        <v>1</v>
      </c>
      <c r="G33" s="10" t="n">
        <v>0</v>
      </c>
      <c r="H33" s="10" t="n">
        <v>0</v>
      </c>
      <c r="I33" s="10" t="n">
        <v>0</v>
      </c>
      <c r="J33" s="10" t="n">
        <v>4</v>
      </c>
      <c r="K33" s="10" t="inlineStr"/>
      <c r="L33" s="10" t="inlineStr"/>
      <c r="M33" s="10" t="inlineStr">
        <is>
          <t>●</t>
        </is>
      </c>
      <c r="N33" s="10" t="inlineStr"/>
      <c r="O33" s="10" t="inlineStr"/>
      <c r="P33" s="10" t="inlineStr"/>
      <c r="Q33" s="35" t="inlineStr">
        <is>
          <t>DC입력: EM806</t>
        </is>
      </c>
    </row>
    <row r="34" ht="17" customHeight="1">
      <c r="A34" s="34" t="inlineStr">
        <is>
          <t>판넬2</t>
        </is>
      </c>
      <c r="B34" s="35" t="inlineStr">
        <is>
          <t>Z</t>
        </is>
      </c>
      <c r="C34" s="35" t="inlineStr">
        <is>
          <t>EM542S (DC 24-50V, 4.2A max)</t>
        </is>
      </c>
      <c r="D34" s="10" t="n">
        <v>0</v>
      </c>
      <c r="E34" s="10" t="n">
        <v>4.2</v>
      </c>
      <c r="F34" s="10" t="n">
        <v>1</v>
      </c>
      <c r="G34" s="10" t="n">
        <v>0</v>
      </c>
      <c r="H34" s="10" t="n">
        <v>0</v>
      </c>
      <c r="I34" s="10" t="n">
        <v>0</v>
      </c>
      <c r="J34" s="10" t="n">
        <v>2.1</v>
      </c>
      <c r="K34" s="10" t="inlineStr"/>
      <c r="L34" s="10" t="inlineStr"/>
      <c r="M34" s="10" t="inlineStr">
        <is>
          <t>●</t>
        </is>
      </c>
      <c r="N34" s="10" t="inlineStr"/>
      <c r="O34" s="10" t="inlineStr"/>
      <c r="P34" s="10" t="inlineStr"/>
      <c r="Q34" s="35" t="inlineStr">
        <is>
          <t>DC입력: EM542S</t>
        </is>
      </c>
    </row>
    <row r="35" ht="17" customHeight="1">
      <c r="A35" s="29" t="inlineStr">
        <is>
          <t xml:space="preserve">  파스텍 소계</t>
        </is>
      </c>
      <c r="D35" s="30" t="n"/>
      <c r="E35" s="30">
        <f>SUM(E30:E34)</f>
        <v/>
      </c>
      <c r="F35" s="30" t="n"/>
      <c r="G35" s="30" t="n"/>
      <c r="H35" s="30" t="n"/>
      <c r="I35" s="30" t="n"/>
      <c r="J35" s="30">
        <f>SUM(J30:J34)</f>
        <v/>
      </c>
      <c r="K35" s="30" t="n"/>
      <c r="L35" s="30" t="n"/>
      <c r="M35" s="30" t="n"/>
      <c r="N35" s="30" t="n"/>
      <c r="O35" s="30" t="n"/>
      <c r="P35" s="30" t="n"/>
      <c r="Q35" s="32" t="inlineStr">
        <is>
          <t>파스텍: DC 전원에서 공급 — DC 전원장치 용량에 반영</t>
        </is>
      </c>
    </row>
    <row r="37" ht="16" customHeight="1">
      <c r="A37" s="36" t="inlineStr">
        <is>
          <t>■ DC 24V 부하 (I/O 모듈, 센서, 솔레노이드, 팬 등)</t>
        </is>
      </c>
    </row>
    <row r="38" ht="17" customHeight="1">
      <c r="A38" s="37" t="inlineStr">
        <is>
          <t>공통</t>
        </is>
      </c>
      <c r="B38" s="38" t="inlineStr">
        <is>
          <t>I/O 모듈</t>
        </is>
      </c>
      <c r="C38" s="38" t="inlineStr">
        <is>
          <t>Weidmuller / Leadshine IO</t>
        </is>
      </c>
      <c r="D38" s="14" t="n">
        <v>0</v>
      </c>
      <c r="E38" s="14" t="n">
        <v>1.5</v>
      </c>
      <c r="F38" s="14" t="n">
        <v>1</v>
      </c>
      <c r="G38" s="14" t="n">
        <v>0</v>
      </c>
      <c r="H38" s="14" t="n">
        <v>0</v>
      </c>
      <c r="I38" s="14" t="n">
        <v>0</v>
      </c>
      <c r="J38" s="14" t="n">
        <v>1.5</v>
      </c>
      <c r="K38" s="14" t="inlineStr"/>
      <c r="L38" s="14" t="inlineStr"/>
      <c r="M38" s="14" t="inlineStr">
        <is>
          <t>●</t>
        </is>
      </c>
      <c r="N38" s="14" t="inlineStr"/>
      <c r="O38" s="14" t="inlineStr"/>
      <c r="P38" s="14" t="inlineStr"/>
      <c r="Q38" s="38" t="inlineStr">
        <is>
          <t>DC 24V: 슬롯당 ~0.5A × n슬롯</t>
        </is>
      </c>
    </row>
    <row r="39" ht="17" customHeight="1">
      <c r="A39" s="37" t="inlineStr">
        <is>
          <t>공통</t>
        </is>
      </c>
      <c r="B39" s="38" t="inlineStr">
        <is>
          <t>포토센서</t>
        </is>
      </c>
      <c r="C39" s="38" t="inlineStr">
        <is>
          <t>포토센서 ×n</t>
        </is>
      </c>
      <c r="D39" s="14" t="n">
        <v>0</v>
      </c>
      <c r="E39" s="14" t="n">
        <v>0.5</v>
      </c>
      <c r="F39" s="14" t="n">
        <v>1</v>
      </c>
      <c r="G39" s="14" t="n">
        <v>0</v>
      </c>
      <c r="H39" s="14" t="n">
        <v>0</v>
      </c>
      <c r="I39" s="14" t="n">
        <v>0</v>
      </c>
      <c r="J39" s="14" t="n">
        <v>0.5</v>
      </c>
      <c r="K39" s="14" t="inlineStr"/>
      <c r="L39" s="14" t="inlineStr"/>
      <c r="M39" s="14" t="inlineStr">
        <is>
          <t>●</t>
        </is>
      </c>
      <c r="N39" s="14" t="inlineStr"/>
      <c r="O39" s="14" t="inlineStr"/>
      <c r="P39" s="14" t="inlineStr"/>
      <c r="Q39" s="38" t="inlineStr">
        <is>
          <t>DC 24V: 센서 1개당 ~50mA</t>
        </is>
      </c>
    </row>
    <row r="40" ht="17" customHeight="1">
      <c r="A40" s="37" t="inlineStr">
        <is>
          <t>공통</t>
        </is>
      </c>
      <c r="B40" s="38" t="inlineStr">
        <is>
          <t>솔레노이드밸브</t>
        </is>
      </c>
      <c r="C40" s="38" t="inlineStr">
        <is>
          <t>솔레노이드밸브 ×n</t>
        </is>
      </c>
      <c r="D40" s="14" t="n">
        <v>0</v>
      </c>
      <c r="E40" s="14" t="n">
        <v>1</v>
      </c>
      <c r="F40" s="14" t="n">
        <v>1</v>
      </c>
      <c r="G40" s="14" t="n">
        <v>0</v>
      </c>
      <c r="H40" s="14" t="n">
        <v>0</v>
      </c>
      <c r="I40" s="14" t="n">
        <v>0</v>
      </c>
      <c r="J40" s="14" t="n">
        <v>1</v>
      </c>
      <c r="K40" s="14" t="inlineStr"/>
      <c r="L40" s="14" t="inlineStr"/>
      <c r="M40" s="14" t="inlineStr">
        <is>
          <t>●</t>
        </is>
      </c>
      <c r="N40" s="14" t="inlineStr"/>
      <c r="O40" s="14" t="inlineStr"/>
      <c r="P40" s="14" t="inlineStr"/>
      <c r="Q40" s="38" t="inlineStr">
        <is>
          <t>DC 24V: 밸브 1개당 ~200mA</t>
        </is>
      </c>
    </row>
    <row r="41" ht="17" customHeight="1">
      <c r="A41" s="37" t="inlineStr">
        <is>
          <t>공통</t>
        </is>
      </c>
      <c r="B41" s="38" t="inlineStr">
        <is>
          <t>냉각팬</t>
        </is>
      </c>
      <c r="C41" s="38" t="inlineStr">
        <is>
          <t>팬 (AC→DC 24V)</t>
        </is>
      </c>
      <c r="D41" s="14" t="n">
        <v>0</v>
      </c>
      <c r="E41" s="14" t="n">
        <v>0.5</v>
      </c>
      <c r="F41" s="14" t="n">
        <v>1</v>
      </c>
      <c r="G41" s="14" t="n">
        <v>0</v>
      </c>
      <c r="H41" s="14" t="n">
        <v>0</v>
      </c>
      <c r="I41" s="14" t="n">
        <v>0</v>
      </c>
      <c r="J41" s="14" t="n">
        <v>0.5</v>
      </c>
      <c r="K41" s="14" t="inlineStr"/>
      <c r="L41" s="14" t="inlineStr"/>
      <c r="M41" s="14" t="inlineStr">
        <is>
          <t>●</t>
        </is>
      </c>
      <c r="N41" s="14" t="inlineStr"/>
      <c r="O41" s="14" t="inlineStr"/>
      <c r="P41" s="14" t="inlineStr"/>
      <c r="Q41" s="38" t="inlineStr">
        <is>
          <t>DC 24V: 팬 1개당 ~0.3~0.5A</t>
        </is>
      </c>
    </row>
    <row r="42" ht="17" customHeight="1">
      <c r="A42" s="37" t="inlineStr">
        <is>
          <t>공통</t>
        </is>
      </c>
      <c r="B42" s="38" t="inlineStr">
        <is>
          <t>기타 DC 부하</t>
        </is>
      </c>
      <c r="C42" s="38" t="inlineStr">
        <is>
          <t>(직접 입력)</t>
        </is>
      </c>
      <c r="D42" s="14" t="n">
        <v>0</v>
      </c>
      <c r="E42" s="14" t="n">
        <v>0</v>
      </c>
      <c r="F42" s="14" t="n">
        <v>1</v>
      </c>
      <c r="G42" s="14" t="n">
        <v>0</v>
      </c>
      <c r="H42" s="14" t="n">
        <v>0</v>
      </c>
      <c r="I42" s="14" t="n">
        <v>0</v>
      </c>
      <c r="J42" s="14" t="n">
        <v>0</v>
      </c>
      <c r="K42" s="14" t="inlineStr"/>
      <c r="L42" s="14" t="inlineStr"/>
      <c r="M42" s="14" t="inlineStr">
        <is>
          <t>●</t>
        </is>
      </c>
      <c r="N42" s="14" t="inlineStr"/>
      <c r="O42" s="14" t="inlineStr"/>
      <c r="P42" s="14" t="inlineStr"/>
      <c r="Q42" s="38" t="inlineStr">
        <is>
          <t>← 실측값 직접 입력</t>
        </is>
      </c>
    </row>
    <row r="43" ht="17" customHeight="1">
      <c r="A43" s="29" t="inlineStr">
        <is>
          <t xml:space="preserve">  DC 24V 부하 소계</t>
        </is>
      </c>
      <c r="D43" s="30" t="n"/>
      <c r="E43" s="30">
        <f>SUM(E38:E42)</f>
        <v/>
      </c>
      <c r="F43" s="30" t="n"/>
      <c r="G43" s="30" t="n"/>
      <c r="H43" s="30" t="n"/>
      <c r="I43" s="30" t="n"/>
      <c r="J43" s="30">
        <f>SUM(J38:J42)</f>
        <v/>
      </c>
      <c r="K43" s="30" t="n"/>
      <c r="L43" s="30" t="n"/>
      <c r="M43" s="30" t="n"/>
      <c r="N43" s="30" t="n"/>
      <c r="O43" s="30" t="n"/>
      <c r="P43" s="30" t="n"/>
      <c r="Q43" s="32" t="inlineStr">
        <is>
          <t>DC 전원장치 선정: 합계전류×1.25 이상 용량</t>
        </is>
      </c>
    </row>
    <row r="45" ht="16" customHeight="1">
      <c r="A45" s="39" t="inlineStr">
        <is>
          <t>■ 기타 부하 (HMI, PC, 조명, 히터 등)</t>
        </is>
      </c>
    </row>
    <row r="46" ht="17" customHeight="1">
      <c r="A46" s="40" t="inlineStr">
        <is>
          <t>공통</t>
        </is>
      </c>
      <c r="B46" s="41" t="inlineStr">
        <is>
          <t>HMI</t>
        </is>
      </c>
      <c r="C46" s="41" t="inlineStr">
        <is>
          <t>PROFACE / Weintek HMI</t>
        </is>
      </c>
      <c r="D46" s="18" t="n">
        <v>0</v>
      </c>
      <c r="E46" s="18" t="n">
        <v>1</v>
      </c>
      <c r="F46" s="18" t="n">
        <v>1</v>
      </c>
      <c r="G46" s="18" t="n">
        <v>0</v>
      </c>
      <c r="H46" s="18" t="n">
        <v>1</v>
      </c>
      <c r="I46" s="18" t="n">
        <v>0</v>
      </c>
      <c r="J46" s="18" t="n">
        <v>1</v>
      </c>
      <c r="K46" s="18" t="inlineStr"/>
      <c r="L46" s="18" t="inlineStr">
        <is>
          <t>●</t>
        </is>
      </c>
      <c r="M46" s="18" t="inlineStr"/>
      <c r="N46" s="18" t="inlineStr"/>
      <c r="O46" s="18" t="inlineStr"/>
      <c r="P46" s="18" t="inlineStr"/>
      <c r="Q46" s="41" t="inlineStr">
        <is>
          <t>AC 단상 220V: 제품 사양서 확인</t>
        </is>
      </c>
    </row>
    <row r="47" ht="17" customHeight="1">
      <c r="A47" s="40" t="inlineStr">
        <is>
          <t>공통</t>
        </is>
      </c>
      <c r="B47" s="41" t="inlineStr">
        <is>
          <t>산업용 PC</t>
        </is>
      </c>
      <c r="C47" s="41" t="inlineStr">
        <is>
          <t>IPC (AC 단상)</t>
        </is>
      </c>
      <c r="D47" s="18" t="n">
        <v>0</v>
      </c>
      <c r="E47" s="18" t="n">
        <v>2</v>
      </c>
      <c r="F47" s="18" t="n">
        <v>1</v>
      </c>
      <c r="G47" s="18" t="n">
        <v>0</v>
      </c>
      <c r="H47" s="18" t="n">
        <v>0</v>
      </c>
      <c r="I47" s="18" t="n">
        <v>1</v>
      </c>
      <c r="J47" s="18" t="n">
        <v>2</v>
      </c>
      <c r="K47" s="18" t="inlineStr"/>
      <c r="L47" s="18" t="inlineStr">
        <is>
          <t>●</t>
        </is>
      </c>
      <c r="M47" s="18" t="inlineStr"/>
      <c r="N47" s="18" t="inlineStr"/>
      <c r="O47" s="18" t="inlineStr"/>
      <c r="P47" s="18" t="inlineStr"/>
      <c r="Q47" s="41" t="inlineStr">
        <is>
          <t>AC 단상 220V: PC 정격전력 ÷ 220</t>
        </is>
      </c>
    </row>
    <row r="48" ht="17" customHeight="1">
      <c r="A48" s="40" t="inlineStr">
        <is>
          <t>공통</t>
        </is>
      </c>
      <c r="B48" s="41" t="inlineStr">
        <is>
          <t>내부 조명</t>
        </is>
      </c>
      <c r="C48" s="41" t="inlineStr">
        <is>
          <t>형광등/LED (AC 단상)</t>
        </is>
      </c>
      <c r="D48" s="18" t="n">
        <v>0</v>
      </c>
      <c r="E48" s="18" t="n">
        <v>0.3</v>
      </c>
      <c r="F48" s="18" t="n">
        <v>1</v>
      </c>
      <c r="G48" s="18" t="n">
        <v>1</v>
      </c>
      <c r="H48" s="18" t="n">
        <v>0</v>
      </c>
      <c r="I48" s="18" t="n">
        <v>0</v>
      </c>
      <c r="J48" s="18" t="n">
        <v>0.3</v>
      </c>
      <c r="K48" s="18" t="inlineStr"/>
      <c r="L48" s="18" t="inlineStr">
        <is>
          <t>●</t>
        </is>
      </c>
      <c r="M48" s="18" t="inlineStr"/>
      <c r="N48" s="18" t="inlineStr"/>
      <c r="O48" s="18" t="inlineStr"/>
      <c r="P48" s="18" t="inlineStr"/>
      <c r="Q48" s="41" t="inlineStr">
        <is>
          <t>AC 단상 220V</t>
        </is>
      </c>
    </row>
    <row r="49" ht="17" customHeight="1">
      <c r="A49" s="40" t="inlineStr">
        <is>
          <t>공통</t>
        </is>
      </c>
      <c r="B49" s="41" t="inlineStr">
        <is>
          <t>히터 (옵션)</t>
        </is>
      </c>
      <c r="C49" s="41" t="inlineStr">
        <is>
          <t>PTC 히터 (AC 단상)</t>
        </is>
      </c>
      <c r="D49" s="18" t="n">
        <v>0</v>
      </c>
      <c r="E49" s="18" t="n">
        <v>0</v>
      </c>
      <c r="F49" s="18" t="n">
        <v>1</v>
      </c>
      <c r="G49" s="18" t="n">
        <v>0</v>
      </c>
      <c r="H49" s="18" t="n">
        <v>0</v>
      </c>
      <c r="I49" s="18" t="n">
        <v>0</v>
      </c>
      <c r="J49" s="18" t="n">
        <v>0</v>
      </c>
      <c r="K49" s="18" t="inlineStr"/>
      <c r="L49" s="18" t="inlineStr">
        <is>
          <t>●</t>
        </is>
      </c>
      <c r="M49" s="18" t="inlineStr"/>
      <c r="N49" s="18" t="inlineStr"/>
      <c r="O49" s="18" t="inlineStr"/>
      <c r="P49" s="18" t="inlineStr"/>
      <c r="Q49" s="41" t="inlineStr">
        <is>
          <t>← 옵션: 실측값 직접 입력</t>
        </is>
      </c>
    </row>
    <row r="50" ht="17" customHeight="1">
      <c r="A50" s="40" t="inlineStr">
        <is>
          <t>공통</t>
        </is>
      </c>
      <c r="B50" s="41" t="inlineStr">
        <is>
          <t>기타</t>
        </is>
      </c>
      <c r="C50" s="41" t="inlineStr">
        <is>
          <t>(직접 입력)</t>
        </is>
      </c>
      <c r="D50" s="18" t="n">
        <v>0</v>
      </c>
      <c r="E50" s="18" t="n">
        <v>0</v>
      </c>
      <c r="F50" s="18" t="n">
        <v>1</v>
      </c>
      <c r="G50" s="18" t="n">
        <v>0</v>
      </c>
      <c r="H50" s="18" t="n">
        <v>0</v>
      </c>
      <c r="I50" s="18" t="n">
        <v>0</v>
      </c>
      <c r="J50" s="18" t="n">
        <v>0</v>
      </c>
      <c r="K50" s="18" t="inlineStr"/>
      <c r="L50" s="18" t="inlineStr"/>
      <c r="M50" s="18" t="inlineStr"/>
      <c r="N50" s="18" t="inlineStr"/>
      <c r="O50" s="18" t="inlineStr"/>
      <c r="P50" s="18" t="inlineStr"/>
      <c r="Q50" s="41" t="inlineStr">
        <is>
          <t>← 실측값 직접 입력</t>
        </is>
      </c>
    </row>
    <row r="51" ht="17" customHeight="1">
      <c r="A51" s="29" t="inlineStr">
        <is>
          <t xml:space="preserve">  기타 부하 소계</t>
        </is>
      </c>
      <c r="D51" s="30" t="n"/>
      <c r="E51" s="30">
        <f>SUM(E46:E50)</f>
        <v/>
      </c>
      <c r="F51" s="30" t="n"/>
      <c r="G51" s="30" t="n"/>
      <c r="H51" s="30" t="n"/>
      <c r="I51" s="30" t="n"/>
      <c r="J51" s="30">
        <f>SUM(J46:J50)</f>
        <v/>
      </c>
      <c r="K51" s="30" t="n"/>
      <c r="L51" s="30" t="n"/>
      <c r="M51" s="30" t="n"/>
      <c r="N51" s="30" t="n"/>
      <c r="O51" s="30" t="n"/>
      <c r="P51" s="30" t="n"/>
      <c r="Q51" s="32" t="inlineStr">
        <is>
          <t>기타: 단상 부하는 상 편중 주의</t>
        </is>
      </c>
    </row>
    <row r="53" ht="16" customHeight="1">
      <c r="A53" s="42" t="inlineStr">
        <is>
          <t>■ 전체 합계 및 차단기 선정</t>
        </is>
      </c>
    </row>
    <row r="54" ht="20" customHeight="1">
      <c r="A54" s="43" t="inlineStr">
        <is>
          <t xml:space="preserve">  전체 정격전류 합계</t>
        </is>
      </c>
      <c r="E54" s="44">
        <f>E27+E35+E43+E51</f>
        <v/>
      </c>
      <c r="F54" s="45">
        <f>E54*1.25</f>
        <v/>
      </c>
      <c r="G54" s="46" t="inlineStr">
        <is>
          <t>×1.25 (안전계수)</t>
        </is>
      </c>
      <c r="O54" s="47" t="inlineStr">
        <is>
          <t>→ 차단기 직접 선정</t>
        </is>
      </c>
      <c r="Q54" s="48" t="inlineStr">
        <is>
          <t>안전계수 1.25 적용 후 규격 차단기 선정 (Sheet3 참조)</t>
        </is>
      </c>
    </row>
    <row r="55" ht="17" customHeight="1">
      <c r="A55" s="49" t="inlineStr">
        <is>
          <t xml:space="preserve">  R/S/T 상별 전류 합계</t>
        </is>
      </c>
      <c r="G55" s="50" t="inlineStr">
        <is>
          <t>→ R상 합산 입력</t>
        </is>
      </c>
      <c r="H55" s="50" t="inlineStr">
        <is>
          <t>→ S상 합산 입력</t>
        </is>
      </c>
      <c r="I55" s="50" t="inlineStr">
        <is>
          <t>→ T상 합산 입력</t>
        </is>
      </c>
      <c r="Q55" s="32" t="inlineStr">
        <is>
          <t>각 상별 전류: 드라이버별 R/S/T 할당 × 정격전류 합산 (수동 확인)</t>
        </is>
      </c>
    </row>
    <row r="57" ht="16" customHeight="1">
      <c r="A57" s="51" t="inlineStr">
        <is>
          <t>▶ 주요 수식 설명</t>
        </is>
      </c>
    </row>
    <row r="58" ht="16" customHeight="1">
      <c r="A58" s="52" t="inlineStr">
        <is>
          <t>AC 3상 정격전류</t>
        </is>
      </c>
      <c r="C58" s="53" t="inlineStr">
        <is>
          <t>I (A) = VA_정격 ÷ (√3 × 220V × PF)</t>
        </is>
      </c>
      <c r="G58" s="54" t="inlineStr">
        <is>
          <t>예) 2300VA ÷ (1.732×220×0.95) = 6.36A</t>
        </is>
      </c>
      <c r="K58" s="55" t="inlineStr">
        <is>
          <t>PF=역률(보통 0.85~0.95), 파나소닉 A6 spec 기준</t>
        </is>
      </c>
    </row>
    <row r="59" ht="16" customHeight="1">
      <c r="A59" s="52" t="inlineStr">
        <is>
          <t>AC 단상 정격전류</t>
        </is>
      </c>
      <c r="C59" s="53" t="inlineStr">
        <is>
          <t>I (A) = W_정격 ÷ (220V × PF)</t>
        </is>
      </c>
      <c r="G59" s="54" t="inlineStr">
        <is>
          <t>예) 1000W ÷ (220×0.85) = 5.35A</t>
        </is>
      </c>
      <c r="K59" s="55" t="inlineStr">
        <is>
          <t>단상 220V 부하: HMI, PC 등</t>
        </is>
      </c>
    </row>
    <row r="60" ht="16" customHeight="1">
      <c r="A60" s="52" t="inlineStr">
        <is>
          <t>DC 전류</t>
        </is>
      </c>
      <c r="C60" s="53" t="inlineStr">
        <is>
          <t>I (A) = W_정격 ÷ V_dc</t>
        </is>
      </c>
      <c r="G60" s="54" t="inlineStr">
        <is>
          <t>예) 100W ÷ 24V = 4.17A</t>
        </is>
      </c>
      <c r="K60" s="55" t="inlineStr">
        <is>
          <t>DC 24V 계열: SMPS 용량 선정에 활용</t>
        </is>
      </c>
    </row>
    <row r="61" ht="16" customHeight="1">
      <c r="A61" s="52" t="inlineStr">
        <is>
          <t>안전계수 적용</t>
        </is>
      </c>
      <c r="C61" s="53" t="inlineStr">
        <is>
          <t>I_설계 = I_합계 × 1.25</t>
        </is>
      </c>
      <c r="G61" s="54" t="inlineStr">
        <is>
          <t>→ 이 값 이상의 차단기 선정</t>
        </is>
      </c>
      <c r="K61" s="55" t="inlineStr">
        <is>
          <t>NEC/IEC 기준 1.25배 (연속운전 고려)</t>
        </is>
      </c>
    </row>
    <row r="62" ht="16" customHeight="1">
      <c r="A62" s="52" t="inlineStr">
        <is>
          <t>전류 불균형률</t>
        </is>
      </c>
      <c r="C62" s="53" t="inlineStr">
        <is>
          <t>δ (%) = (I_max - I_avg) ÷ I_avg × 100</t>
        </is>
      </c>
      <c r="G62" s="54" t="inlineStr">
        <is>
          <t>10% 이하 권장 (IEC 61000-3-3)</t>
        </is>
      </c>
      <c r="K62" s="55" t="inlineStr">
        <is>
          <t>불균형 시 R/S/T 축 재배분 검토</t>
        </is>
      </c>
    </row>
    <row r="63" ht="16" customHeight="1">
      <c r="A63" s="52" t="inlineStr">
        <is>
          <t>차단기 선정 원칙</t>
        </is>
      </c>
      <c r="C63" s="53" t="inlineStr">
        <is>
          <t>정격 &gt; I_설계, 단락전류 ≥ 현장 단락전류</t>
        </is>
      </c>
      <c r="G63" s="54" t="inlineStr">
        <is>
          <t>→ Sheet3 차단기 규격 참조표 확인</t>
        </is>
      </c>
      <c r="K63" s="55" t="inlineStr">
        <is>
          <t>MCCB: 산업용, MCB: 소용량</t>
        </is>
      </c>
    </row>
  </sheetData>
  <mergeCells count="53">
    <mergeCell ref="F15:F16"/>
    <mergeCell ref="A9:Q9"/>
    <mergeCell ref="C61:F61"/>
    <mergeCell ref="A59:B59"/>
    <mergeCell ref="K61:Q61"/>
    <mergeCell ref="A60:B60"/>
    <mergeCell ref="A58:B58"/>
    <mergeCell ref="A27:C27"/>
    <mergeCell ref="J15:J16"/>
    <mergeCell ref="A55:C55"/>
    <mergeCell ref="G63:J63"/>
    <mergeCell ref="A61:B61"/>
    <mergeCell ref="A1:Q1"/>
    <mergeCell ref="A45:Q45"/>
    <mergeCell ref="G60:J60"/>
    <mergeCell ref="K62:Q62"/>
    <mergeCell ref="C62:F62"/>
    <mergeCell ref="E15:E16"/>
    <mergeCell ref="G59:J59"/>
    <mergeCell ref="G15:G16"/>
    <mergeCell ref="K15:N15"/>
    <mergeCell ref="A35:C35"/>
    <mergeCell ref="C58:F58"/>
    <mergeCell ref="Q15:Q16"/>
    <mergeCell ref="A43:C43"/>
    <mergeCell ref="A37:Q37"/>
    <mergeCell ref="B15:B16"/>
    <mergeCell ref="G61:J61"/>
    <mergeCell ref="D15:D16"/>
    <mergeCell ref="A57:Q57"/>
    <mergeCell ref="K60:Q60"/>
    <mergeCell ref="A2:Q2"/>
    <mergeCell ref="C63:F63"/>
    <mergeCell ref="K63:Q63"/>
    <mergeCell ref="H15:H16"/>
    <mergeCell ref="P15:P16"/>
    <mergeCell ref="A51:C51"/>
    <mergeCell ref="A62:B62"/>
    <mergeCell ref="G62:J62"/>
    <mergeCell ref="A17:Q17"/>
    <mergeCell ref="A53:Q53"/>
    <mergeCell ref="A29:Q29"/>
    <mergeCell ref="A63:B63"/>
    <mergeCell ref="K58:Q58"/>
    <mergeCell ref="A15:A16"/>
    <mergeCell ref="G58:J58"/>
    <mergeCell ref="C59:F59"/>
    <mergeCell ref="C15:C16"/>
    <mergeCell ref="I15:I16"/>
    <mergeCell ref="K59:Q59"/>
    <mergeCell ref="C60:F60"/>
    <mergeCell ref="O15:O16"/>
    <mergeCell ref="A54:C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6" customWidth="1" min="4" max="4"/>
    <col width="16" customWidth="1" min="5" max="5"/>
    <col width="16" customWidth="1" min="6" max="6"/>
    <col width="12" customWidth="1" min="7" max="7"/>
    <col width="18" customWidth="1" min="8" max="8"/>
    <col width="20" customWidth="1" min="9" max="9"/>
    <col width="14" customWidth="1" min="10" max="10"/>
  </cols>
  <sheetData>
    <row r="1" ht="24" customHeight="1">
      <c r="A1" s="56" t="inlineStr">
        <is>
          <t>파나소닉 A6 서보드라이버 규격표 (MINAS A6 Series)</t>
        </is>
      </c>
    </row>
    <row r="2" ht="20" customHeight="1">
      <c r="A2" s="24" t="inlineStr">
        <is>
          <t>드라이버 모델</t>
        </is>
      </c>
      <c r="B2" s="24" t="inlineStr">
        <is>
          <t>대응 모터</t>
        </is>
      </c>
      <c r="C2" s="24" t="inlineStr">
        <is>
          <t>정격출력(W)</t>
        </is>
      </c>
      <c r="D2" s="24" t="inlineStr">
        <is>
          <t>전원</t>
        </is>
      </c>
      <c r="E2" s="24" t="inlineStr">
        <is>
          <t>정격입력전류(A)</t>
        </is>
      </c>
      <c r="F2" s="24" t="inlineStr">
        <is>
          <t>최대입력전류(A)</t>
        </is>
      </c>
      <c r="G2" s="24" t="inlineStr">
        <is>
          <t>제어방식</t>
        </is>
      </c>
      <c r="H2" s="24" t="inlineStr">
        <is>
          <t>통신</t>
        </is>
      </c>
      <c r="I2" s="24" t="inlineStr">
        <is>
          <t>특이사항</t>
        </is>
      </c>
      <c r="J2" s="24" t="inlineStr">
        <is>
          <t>비고</t>
        </is>
      </c>
    </row>
    <row r="3" ht="16" customHeight="1">
      <c r="A3" s="28" t="inlineStr">
        <is>
          <t>MADLN05BE</t>
        </is>
      </c>
      <c r="B3" s="6" t="inlineStr">
        <is>
          <t>MSMF/MQMF 50W</t>
        </is>
      </c>
      <c r="C3" s="6" t="n">
        <v>50</v>
      </c>
      <c r="D3" s="6" t="inlineStr">
        <is>
          <t>AC3상 200V</t>
        </is>
      </c>
      <c r="E3" s="6" t="n">
        <v>0.3</v>
      </c>
      <c r="F3" s="6" t="n">
        <v>0.8</v>
      </c>
      <c r="G3" s="6" t="inlineStr">
        <is>
          <t>フルクロ</t>
        </is>
      </c>
      <c r="H3" s="6" t="inlineStr">
        <is>
          <t>EtherCAT/Modbus</t>
        </is>
      </c>
      <c r="I3" s="6" t="inlineStr">
        <is>
          <t>소형 단축용</t>
        </is>
      </c>
      <c r="J3" s="6" t="inlineStr"/>
    </row>
    <row r="4" ht="16" customHeight="1">
      <c r="A4" s="57" t="inlineStr">
        <is>
          <t>MADLN10BE</t>
        </is>
      </c>
      <c r="B4" s="58" t="inlineStr">
        <is>
          <t>MSMF/MQMF 100W</t>
        </is>
      </c>
      <c r="C4" s="58" t="n">
        <v>100</v>
      </c>
      <c r="D4" s="58" t="inlineStr">
        <is>
          <t>AC3상 200V</t>
        </is>
      </c>
      <c r="E4" s="58" t="n">
        <v>0.5</v>
      </c>
      <c r="F4" s="58" t="n">
        <v>1.2</v>
      </c>
      <c r="G4" s="58" t="inlineStr">
        <is>
          <t>フルクロ</t>
        </is>
      </c>
      <c r="H4" s="58" t="inlineStr">
        <is>
          <t>EtherCAT/Modbus</t>
        </is>
      </c>
      <c r="I4" s="58" t="inlineStr"/>
      <c r="J4" s="58" t="inlineStr"/>
    </row>
    <row r="5" ht="16" customHeight="1">
      <c r="A5" s="28" t="inlineStr">
        <is>
          <t>MADLN15BE</t>
        </is>
      </c>
      <c r="B5" s="6" t="inlineStr">
        <is>
          <t>MSMF/MQMF 200W</t>
        </is>
      </c>
      <c r="C5" s="6" t="n">
        <v>200</v>
      </c>
      <c r="D5" s="6" t="inlineStr">
        <is>
          <t>AC3상 200V</t>
        </is>
      </c>
      <c r="E5" s="6" t="n">
        <v>1</v>
      </c>
      <c r="F5" s="6" t="n">
        <v>2.4</v>
      </c>
      <c r="G5" s="6" t="inlineStr">
        <is>
          <t>フルクロ</t>
        </is>
      </c>
      <c r="H5" s="6" t="inlineStr">
        <is>
          <t>EtherCAT/Modbus</t>
        </is>
      </c>
      <c r="I5" s="6" t="inlineStr"/>
      <c r="J5" s="6" t="inlineStr"/>
    </row>
    <row r="6" ht="16" customHeight="1">
      <c r="A6" s="57" t="inlineStr">
        <is>
          <t>MBDLN25BE</t>
        </is>
      </c>
      <c r="B6" s="58" t="inlineStr">
        <is>
          <t>MSMF/MQMF 400W</t>
        </is>
      </c>
      <c r="C6" s="58" t="n">
        <v>400</v>
      </c>
      <c r="D6" s="58" t="inlineStr">
        <is>
          <t>AC3상 200V</t>
        </is>
      </c>
      <c r="E6" s="58" t="n">
        <v>1.5</v>
      </c>
      <c r="F6" s="58" t="n">
        <v>4</v>
      </c>
      <c r="G6" s="58" t="inlineStr">
        <is>
          <t>フルクロ</t>
        </is>
      </c>
      <c r="H6" s="58" t="inlineStr">
        <is>
          <t>EtherCAT/Modbus</t>
        </is>
      </c>
      <c r="I6" s="58" t="inlineStr"/>
      <c r="J6" s="58" t="inlineStr"/>
    </row>
    <row r="7" ht="16" customHeight="1">
      <c r="A7" s="28" t="inlineStr">
        <is>
          <t>MCDLN35BL</t>
        </is>
      </c>
      <c r="B7" s="6" t="inlineStr">
        <is>
          <t>MSMF/MQMF 750W</t>
        </is>
      </c>
      <c r="C7" s="6" t="n">
        <v>750</v>
      </c>
      <c r="D7" s="6" t="inlineStr">
        <is>
          <t>AC3상 200V</t>
        </is>
      </c>
      <c r="E7" s="6" t="n">
        <v>2.4</v>
      </c>
      <c r="F7" s="6" t="n">
        <v>7</v>
      </c>
      <c r="G7" s="6" t="inlineStr">
        <is>
          <t>フルクロ</t>
        </is>
      </c>
      <c r="H7" s="6" t="inlineStr">
        <is>
          <t>EtherCAT/Modbus</t>
        </is>
      </c>
      <c r="I7" s="6" t="inlineStr">
        <is>
          <t>중형 축용</t>
        </is>
      </c>
      <c r="J7" s="6" t="inlineStr"/>
    </row>
    <row r="8" ht="16" customHeight="1">
      <c r="A8" s="57" t="inlineStr">
        <is>
          <t>MCDLN35BE</t>
        </is>
      </c>
      <c r="B8" s="58" t="inlineStr">
        <is>
          <t>MSMF/MQMF 750W</t>
        </is>
      </c>
      <c r="C8" s="58" t="n">
        <v>750</v>
      </c>
      <c r="D8" s="58" t="inlineStr">
        <is>
          <t>AC3상 200V</t>
        </is>
      </c>
      <c r="E8" s="58" t="n">
        <v>2.4</v>
      </c>
      <c r="F8" s="58" t="n">
        <v>7</v>
      </c>
      <c r="G8" s="58" t="inlineStr">
        <is>
          <t>フルクロ</t>
        </is>
      </c>
      <c r="H8" s="58" t="inlineStr">
        <is>
          <t>EtherCAT/Modbus</t>
        </is>
      </c>
      <c r="I8" s="58" t="inlineStr">
        <is>
          <t>Brake 내장형</t>
        </is>
      </c>
      <c r="J8" s="58" t="inlineStr"/>
    </row>
    <row r="9" ht="16" customHeight="1">
      <c r="A9" s="28" t="inlineStr">
        <is>
          <t>MDDLN55BL</t>
        </is>
      </c>
      <c r="B9" s="6" t="inlineStr">
        <is>
          <t>MSMF 1kW</t>
        </is>
      </c>
      <c r="C9" s="6" t="n">
        <v>1000</v>
      </c>
      <c r="D9" s="6" t="inlineStr">
        <is>
          <t>AC3상 200V</t>
        </is>
      </c>
      <c r="E9" s="6" t="n">
        <v>3.4</v>
      </c>
      <c r="F9" s="6" t="n">
        <v>10</v>
      </c>
      <c r="G9" s="6" t="inlineStr">
        <is>
          <t>フルクロ</t>
        </is>
      </c>
      <c r="H9" s="6" t="inlineStr">
        <is>
          <t>EtherCAT/Modbus</t>
        </is>
      </c>
      <c r="I9" s="6" t="inlineStr">
        <is>
          <t>대형 주축용</t>
        </is>
      </c>
      <c r="J9" s="6" t="inlineStr"/>
    </row>
    <row r="10" ht="16" customHeight="1">
      <c r="A10" s="57" t="inlineStr">
        <is>
          <t>MDDLN85BL</t>
        </is>
      </c>
      <c r="B10" s="58" t="inlineStr">
        <is>
          <t>MSMF 1.5kW</t>
        </is>
      </c>
      <c r="C10" s="58" t="n">
        <v>1500</v>
      </c>
      <c r="D10" s="58" t="inlineStr">
        <is>
          <t>AC3상 200V</t>
        </is>
      </c>
      <c r="E10" s="58" t="n">
        <v>5.5</v>
      </c>
      <c r="F10" s="58" t="n">
        <v>15</v>
      </c>
      <c r="G10" s="58" t="inlineStr">
        <is>
          <t>フルクロ</t>
        </is>
      </c>
      <c r="H10" s="58" t="inlineStr">
        <is>
          <t>EtherCAT/Modbus</t>
        </is>
      </c>
      <c r="I10" s="58" t="inlineStr"/>
      <c r="J10" s="58" t="inlineStr"/>
    </row>
    <row r="11" ht="16" customHeight="1">
      <c r="A11" s="28" t="inlineStr">
        <is>
          <t>MEDLN15BL</t>
        </is>
      </c>
      <c r="B11" s="6" t="inlineStr">
        <is>
          <t>MSMF 2kW</t>
        </is>
      </c>
      <c r="C11" s="6" t="n">
        <v>2000</v>
      </c>
      <c r="D11" s="6" t="inlineStr">
        <is>
          <t>AC3상 200V</t>
        </is>
      </c>
      <c r="E11" s="6" t="n">
        <v>7.5</v>
      </c>
      <c r="F11" s="6" t="n">
        <v>20</v>
      </c>
      <c r="G11" s="6" t="inlineStr">
        <is>
          <t>フルクロ</t>
        </is>
      </c>
      <c r="H11" s="6" t="inlineStr">
        <is>
          <t>EtherCAT/Modbus</t>
        </is>
      </c>
      <c r="I11" s="6" t="inlineStr"/>
      <c r="J11" s="6" t="inlineStr"/>
    </row>
    <row r="12" ht="16" customHeight="1">
      <c r="A12" s="57" t="inlineStr">
        <is>
          <t>MFDLN23BL</t>
        </is>
      </c>
      <c r="B12" s="58" t="inlineStr">
        <is>
          <t>MSMF 3kW</t>
        </is>
      </c>
      <c r="C12" s="58" t="n">
        <v>3000</v>
      </c>
      <c r="D12" s="58" t="inlineStr">
        <is>
          <t>AC3상 200V</t>
        </is>
      </c>
      <c r="E12" s="58" t="n">
        <v>11</v>
      </c>
      <c r="F12" s="58" t="n">
        <v>30</v>
      </c>
      <c r="G12" s="58" t="inlineStr">
        <is>
          <t>フルクロ</t>
        </is>
      </c>
      <c r="H12" s="58" t="inlineStr">
        <is>
          <t>EtherCAT/Modbus</t>
        </is>
      </c>
      <c r="I12" s="58" t="inlineStr">
        <is>
          <t>고출력</t>
        </is>
      </c>
      <c r="J12" s="58" t="inlineStr"/>
    </row>
    <row r="14" ht="14" customHeight="1">
      <c r="A14" s="59" t="inlineStr">
        <is>
          <t>※ 정격입력전류: I = P_출력(VA) ÷ (√3 × V_입력 × PF)  |  안전계수 1.25 적용 후 차단기 선정  |  출처: Panasonic MINAS A6 Catalog</t>
        </is>
      </c>
    </row>
  </sheetData>
  <mergeCells count="2">
    <mergeCell ref="A1:J1"/>
    <mergeCell ref="A14:J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2" customWidth="1" min="4" max="4"/>
    <col width="22" customWidth="1" min="5" max="5"/>
    <col width="22" customWidth="1" min="6" max="6"/>
    <col width="18" customWidth="1" min="7" max="7"/>
    <col width="20" customWidth="1" min="8" max="8"/>
    <col width="14" customWidth="1" min="9" max="9"/>
    <col width="8" customWidth="1" min="10" max="10"/>
  </cols>
  <sheetData>
    <row r="1" ht="24" customHeight="1">
      <c r="A1" s="60" t="inlineStr">
        <is>
          <t>파스텍(Fastech) 스텝드라이버 규격표</t>
        </is>
      </c>
    </row>
    <row r="2" ht="20" customHeight="1">
      <c r="A2" s="24" t="inlineStr">
        <is>
          <t>드라이버 모델</t>
        </is>
      </c>
      <c r="B2" s="24" t="inlineStr">
        <is>
          <t>입력전원</t>
        </is>
      </c>
      <c r="C2" s="24" t="inlineStr">
        <is>
          <t>출력전류 max(A)</t>
        </is>
      </c>
      <c r="D2" s="24" t="inlineStr">
        <is>
          <t>마이크로스텝</t>
        </is>
      </c>
      <c r="E2" s="24" t="inlineStr">
        <is>
          <t>통신/제어</t>
        </is>
      </c>
      <c r="F2" s="24" t="inlineStr">
        <is>
          <t>보호기능</t>
        </is>
      </c>
      <c r="G2" s="24" t="inlineStr">
        <is>
          <t>대응 모터</t>
        </is>
      </c>
      <c r="H2" s="24" t="inlineStr">
        <is>
          <t>특이사항</t>
        </is>
      </c>
      <c r="I2" s="24" t="inlineStr">
        <is>
          <t>비고</t>
        </is>
      </c>
      <c r="J2" s="24" t="inlineStr"/>
    </row>
    <row r="3" ht="16" customHeight="1">
      <c r="A3" s="35" t="inlineStr">
        <is>
          <t>EM542S</t>
        </is>
      </c>
      <c r="B3" s="10" t="inlineStr">
        <is>
          <t>DC 20~50V</t>
        </is>
      </c>
      <c r="C3" s="10" t="n">
        <v>4.2</v>
      </c>
      <c r="D3" s="10" t="inlineStr">
        <is>
          <t>1~256</t>
        </is>
      </c>
      <c r="E3" s="10" t="inlineStr">
        <is>
          <t>스텝/방향, CW/CCW</t>
        </is>
      </c>
      <c r="F3" s="10" t="inlineStr">
        <is>
          <t>과열/과전류/위상오류</t>
        </is>
      </c>
      <c r="G3" s="35" t="inlineStr">
        <is>
          <t>2상 스텝모터</t>
        </is>
      </c>
      <c r="H3" s="35" t="inlineStr">
        <is>
          <t>소형 범용</t>
        </is>
      </c>
      <c r="I3" s="10" t="inlineStr"/>
    </row>
    <row r="4" ht="16" customHeight="1">
      <c r="A4" s="57" t="inlineStr">
        <is>
          <t>EM806</t>
        </is>
      </c>
      <c r="B4" s="58" t="inlineStr">
        <is>
          <t>DC 24~80V</t>
        </is>
      </c>
      <c r="C4" s="58" t="n">
        <v>8</v>
      </c>
      <c r="D4" s="58" t="inlineStr">
        <is>
          <t>1~256</t>
        </is>
      </c>
      <c r="E4" s="58" t="inlineStr">
        <is>
          <t>스텝/방향, CW/CCW</t>
        </is>
      </c>
      <c r="F4" s="58" t="inlineStr">
        <is>
          <t>과열/과전류</t>
        </is>
      </c>
      <c r="G4" s="57" t="inlineStr">
        <is>
          <t>2상 스텝모터</t>
        </is>
      </c>
      <c r="H4" s="57" t="inlineStr">
        <is>
          <t>고토크 대형</t>
        </is>
      </c>
      <c r="I4" s="58" t="inlineStr"/>
    </row>
    <row r="5" ht="16" customHeight="1">
      <c r="A5" s="35" t="inlineStr">
        <is>
          <t>EZB2-EC</t>
        </is>
      </c>
      <c r="B5" s="10" t="inlineStr">
        <is>
          <t>DC 24~48V</t>
        </is>
      </c>
      <c r="C5" s="10" t="n">
        <v>2</v>
      </c>
      <c r="D5" s="10" t="inlineStr">
        <is>
          <t>1~256</t>
        </is>
      </c>
      <c r="E5" s="10" t="inlineStr">
        <is>
          <t>EtherCAT</t>
        </is>
      </c>
      <c r="F5" s="10" t="inlineStr">
        <is>
          <t>과열/과전류</t>
        </is>
      </c>
      <c r="G5" s="35" t="inlineStr">
        <is>
          <t>2상 스텝모터</t>
        </is>
      </c>
      <c r="H5" s="35" t="inlineStr">
        <is>
          <t>네트워크 제어</t>
        </is>
      </c>
      <c r="I5" s="10" t="inlineStr"/>
    </row>
    <row r="6" ht="16" customHeight="1">
      <c r="A6" s="57" t="inlineStr">
        <is>
          <t>EZB2-ML</t>
        </is>
      </c>
      <c r="B6" s="58" t="inlineStr">
        <is>
          <t>DC 24~48V</t>
        </is>
      </c>
      <c r="C6" s="58" t="n">
        <v>2</v>
      </c>
      <c r="D6" s="58" t="inlineStr">
        <is>
          <t>1~256</t>
        </is>
      </c>
      <c r="E6" s="58" t="inlineStr">
        <is>
          <t>MECHATROLINK-III</t>
        </is>
      </c>
      <c r="F6" s="58" t="inlineStr">
        <is>
          <t>과열/과전류</t>
        </is>
      </c>
      <c r="G6" s="57" t="inlineStr">
        <is>
          <t>2상 스텝모터</t>
        </is>
      </c>
      <c r="H6" s="57" t="inlineStr">
        <is>
          <t>ML3 네트워크</t>
        </is>
      </c>
      <c r="I6" s="58" t="inlineStr"/>
    </row>
    <row r="7" ht="16" customHeight="1">
      <c r="A7" s="35" t="inlineStr">
        <is>
          <t>EZS2-EC</t>
        </is>
      </c>
      <c r="B7" s="10" t="inlineStr">
        <is>
          <t>DC 24~48V</t>
        </is>
      </c>
      <c r="C7" s="10" t="n">
        <v>4</v>
      </c>
      <c r="D7" s="10" t="inlineStr">
        <is>
          <t>1~256</t>
        </is>
      </c>
      <c r="E7" s="10" t="inlineStr">
        <is>
          <t>EtherCAT</t>
        </is>
      </c>
      <c r="F7" s="10" t="inlineStr">
        <is>
          <t>과열/과전류</t>
        </is>
      </c>
      <c r="G7" s="35" t="inlineStr">
        <is>
          <t>2상 스텝모터</t>
        </is>
      </c>
      <c r="H7" s="35" t="inlineStr">
        <is>
          <t>중형 EtherCAT</t>
        </is>
      </c>
      <c r="I7" s="10" t="inlineStr"/>
    </row>
    <row r="8" ht="16" customHeight="1">
      <c r="A8" s="57" t="inlineStr">
        <is>
          <t>EziSERVO-EC</t>
        </is>
      </c>
      <c r="B8" s="58" t="inlineStr">
        <is>
          <t>AC 100~240V</t>
        </is>
      </c>
      <c r="C8" s="58" t="n">
        <v>3</v>
      </c>
      <c r="D8" s="58" t="inlineStr">
        <is>
          <t>-</t>
        </is>
      </c>
      <c r="E8" s="58" t="inlineStr">
        <is>
          <t>EtherCAT (CiA 402)</t>
        </is>
      </c>
      <c r="F8" s="58" t="inlineStr">
        <is>
          <t>과열/과전류/위치오류</t>
        </is>
      </c>
      <c r="G8" s="57" t="inlineStr">
        <is>
          <t>폐루프 스텝</t>
        </is>
      </c>
      <c r="H8" s="57" t="inlineStr">
        <is>
          <t>폐루프(엔코더 내장)</t>
        </is>
      </c>
      <c r="I8" s="58" t="inlineStr"/>
    </row>
    <row r="10" ht="14" customHeight="1">
      <c r="A10" s="59" t="inlineStr">
        <is>
          <t>※ 파스텍 DC 드라이버 전원: 별도 SMPS 필요 (DC 전원장치 용량 = 합계전류×1.25 이상)  |  출처: Fastech 제품 카탈로그</t>
        </is>
      </c>
    </row>
  </sheetData>
  <mergeCells count="2">
    <mergeCell ref="A1:J1"/>
    <mergeCell ref="A10:J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20" customWidth="1" min="4" max="4"/>
    <col width="18" customWidth="1" min="5" max="5"/>
    <col width="20" customWidth="1" min="6" max="6"/>
    <col width="14" customWidth="1" min="7" max="7"/>
  </cols>
  <sheetData>
    <row r="1" ht="22" customHeight="1">
      <c r="A1" s="61" t="inlineStr">
        <is>
          <t>차단기 규격 참조표 (MCCB / MCB — AC 220V 3상/단상)</t>
        </is>
      </c>
    </row>
    <row r="2" ht="22" customHeight="1">
      <c r="A2" s="24" t="inlineStr">
        <is>
          <t>정격전류(A)</t>
        </is>
      </c>
      <c r="B2" s="24" t="inlineStr">
        <is>
          <t>적용 부하전류 범위</t>
        </is>
      </c>
      <c r="C2" s="24" t="inlineStr">
        <is>
          <t>제조사</t>
        </is>
      </c>
      <c r="D2" s="24" t="inlineStr">
        <is>
          <t>모델 3P (MCCB)</t>
        </is>
      </c>
      <c r="E2" s="24" t="inlineStr">
        <is>
          <t>모델 1P (MCB)</t>
        </is>
      </c>
      <c r="F2" s="24" t="inlineStr">
        <is>
          <t>특이사항</t>
        </is>
      </c>
      <c r="G2" s="24" t="inlineStr">
        <is>
          <t>비고</t>
        </is>
      </c>
    </row>
    <row r="3" ht="16" customHeight="1">
      <c r="A3" s="30" t="n">
        <v>3</v>
      </c>
      <c r="B3" s="62" t="inlineStr">
        <is>
          <t>~2.4A</t>
        </is>
      </c>
      <c r="C3" s="62" t="inlineStr">
        <is>
          <t>LS/Chint</t>
        </is>
      </c>
      <c r="D3" s="62" t="inlineStr">
        <is>
          <t>ABN3c / NXB-63</t>
        </is>
      </c>
      <c r="E3" s="62" t="inlineStr">
        <is>
          <t>BKN1-1P C3</t>
        </is>
      </c>
      <c r="F3" s="63" t="inlineStr">
        <is>
          <t>조명·소형제어</t>
        </is>
      </c>
      <c r="G3" s="62" t="inlineStr"/>
    </row>
    <row r="4" ht="16" customHeight="1">
      <c r="A4" s="30" t="n">
        <v>5</v>
      </c>
      <c r="B4" s="58" t="inlineStr">
        <is>
          <t>2.4~4A</t>
        </is>
      </c>
      <c r="C4" s="58" t="inlineStr">
        <is>
          <t>LS/Chint</t>
        </is>
      </c>
      <c r="D4" s="58" t="inlineStr">
        <is>
          <t>ABN5c / NXB-63</t>
        </is>
      </c>
      <c r="E4" s="58" t="inlineStr">
        <is>
          <t>BKN1-1P C5</t>
        </is>
      </c>
      <c r="F4" s="57" t="inlineStr">
        <is>
          <t>소형I/O</t>
        </is>
      </c>
      <c r="G4" s="58" t="inlineStr"/>
    </row>
    <row r="5" ht="16" customHeight="1">
      <c r="A5" s="30" t="n">
        <v>10</v>
      </c>
      <c r="B5" s="62" t="inlineStr">
        <is>
          <t>4~8A</t>
        </is>
      </c>
      <c r="C5" s="62" t="inlineStr">
        <is>
          <t>LS/Chint</t>
        </is>
      </c>
      <c r="D5" s="62" t="inlineStr">
        <is>
          <t>ABN10c / NXB-63</t>
        </is>
      </c>
      <c r="E5" s="62" t="inlineStr">
        <is>
          <t>BKN1-1P C10</t>
        </is>
      </c>
      <c r="F5" s="63" t="inlineStr">
        <is>
          <t>소형서보 1~2축</t>
        </is>
      </c>
      <c r="G5" s="62" t="inlineStr"/>
    </row>
    <row r="6" ht="16" customHeight="1">
      <c r="A6" s="30" t="n">
        <v>15</v>
      </c>
      <c r="B6" s="58" t="inlineStr">
        <is>
          <t>8~12A</t>
        </is>
      </c>
      <c r="C6" s="58" t="inlineStr">
        <is>
          <t>LS/Chint</t>
        </is>
      </c>
      <c r="D6" s="58" t="inlineStr">
        <is>
          <t>ABN15c / NXB-63</t>
        </is>
      </c>
      <c r="E6" s="58" t="inlineStr">
        <is>
          <t>BKN1-1P C15</t>
        </is>
      </c>
      <c r="F6" s="57" t="inlineStr"/>
      <c r="G6" s="58" t="inlineStr"/>
    </row>
    <row r="7" ht="16" customHeight="1">
      <c r="A7" s="30" t="n">
        <v>20</v>
      </c>
      <c r="B7" s="62" t="inlineStr">
        <is>
          <t>12~16A</t>
        </is>
      </c>
      <c r="C7" s="62" t="inlineStr">
        <is>
          <t>LS/Chint</t>
        </is>
      </c>
      <c r="D7" s="62" t="inlineStr">
        <is>
          <t>ABN20c / NXB-63</t>
        </is>
      </c>
      <c r="E7" s="62" t="inlineStr">
        <is>
          <t>BKN1-1P C20</t>
        </is>
      </c>
      <c r="F7" s="63" t="inlineStr">
        <is>
          <t>중형서보</t>
        </is>
      </c>
      <c r="G7" s="62" t="inlineStr"/>
    </row>
    <row r="8" ht="16" customHeight="1">
      <c r="A8" s="30" t="n">
        <v>25</v>
      </c>
      <c r="B8" s="58" t="inlineStr">
        <is>
          <t>16~20A</t>
        </is>
      </c>
      <c r="C8" s="58" t="inlineStr">
        <is>
          <t>LS/Chint</t>
        </is>
      </c>
      <c r="D8" s="58" t="inlineStr">
        <is>
          <t>ABN25c / NXB-63</t>
        </is>
      </c>
      <c r="E8" s="58" t="inlineStr">
        <is>
          <t>BKN1-1P C25</t>
        </is>
      </c>
      <c r="F8" s="57" t="inlineStr"/>
      <c r="G8" s="58" t="inlineStr"/>
    </row>
    <row r="9" ht="16" customHeight="1">
      <c r="A9" s="30" t="n">
        <v>30</v>
      </c>
      <c r="B9" s="62" t="inlineStr">
        <is>
          <t>20~24A</t>
        </is>
      </c>
      <c r="C9" s="62" t="inlineStr">
        <is>
          <t>LS/Chint</t>
        </is>
      </c>
      <c r="D9" s="62" t="inlineStr">
        <is>
          <t>ABN30c / NXB-63</t>
        </is>
      </c>
      <c r="E9" s="62" t="inlineStr">
        <is>
          <t>-</t>
        </is>
      </c>
      <c r="F9" s="63" t="inlineStr">
        <is>
          <t>다축서보 판넬</t>
        </is>
      </c>
      <c r="G9" s="62" t="inlineStr"/>
    </row>
    <row r="10" ht="16" customHeight="1">
      <c r="A10" s="30" t="n">
        <v>40</v>
      </c>
      <c r="B10" s="58" t="inlineStr">
        <is>
          <t>24~32A</t>
        </is>
      </c>
      <c r="C10" s="58" t="inlineStr">
        <is>
          <t>LS/Chint</t>
        </is>
      </c>
      <c r="D10" s="58" t="inlineStr">
        <is>
          <t>ABN40c</t>
        </is>
      </c>
      <c r="E10" s="58" t="inlineStr">
        <is>
          <t>-</t>
        </is>
      </c>
      <c r="F10" s="57" t="inlineStr"/>
      <c r="G10" s="58" t="inlineStr"/>
    </row>
    <row r="11" ht="16" customHeight="1">
      <c r="A11" s="30" t="n">
        <v>50</v>
      </c>
      <c r="B11" s="62" t="inlineStr">
        <is>
          <t>32~40A</t>
        </is>
      </c>
      <c r="C11" s="62" t="inlineStr">
        <is>
          <t>LS/Chint</t>
        </is>
      </c>
      <c r="D11" s="62" t="inlineStr">
        <is>
          <t>ABN50c</t>
        </is>
      </c>
      <c r="E11" s="62" t="inlineStr">
        <is>
          <t>-</t>
        </is>
      </c>
      <c r="F11" s="63" t="inlineStr"/>
      <c r="G11" s="62" t="inlineStr"/>
    </row>
    <row r="12" ht="16" customHeight="1">
      <c r="A12" s="30" t="n">
        <v>63</v>
      </c>
      <c r="B12" s="58" t="inlineStr">
        <is>
          <t>40~50A</t>
        </is>
      </c>
      <c r="C12" s="58" t="inlineStr">
        <is>
          <t>LS/Chint</t>
        </is>
      </c>
      <c r="D12" s="58" t="inlineStr">
        <is>
          <t>ABN63c</t>
        </is>
      </c>
      <c r="E12" s="58" t="inlineStr">
        <is>
          <t>-</t>
        </is>
      </c>
      <c r="F12" s="57" t="inlineStr">
        <is>
          <t>대형 판넬</t>
        </is>
      </c>
      <c r="G12" s="58" t="inlineStr"/>
    </row>
    <row r="13" ht="16" customHeight="1">
      <c r="A13" s="30" t="n">
        <v>75</v>
      </c>
      <c r="B13" s="62" t="inlineStr">
        <is>
          <t>50~60A</t>
        </is>
      </c>
      <c r="C13" s="62" t="inlineStr">
        <is>
          <t>LS/Chint</t>
        </is>
      </c>
      <c r="D13" s="62" t="inlineStr">
        <is>
          <t>ABN75c</t>
        </is>
      </c>
      <c r="E13" s="62" t="inlineStr">
        <is>
          <t>-</t>
        </is>
      </c>
      <c r="F13" s="63" t="inlineStr">
        <is>
          <t>메인 차단기</t>
        </is>
      </c>
      <c r="G13" s="62" t="inlineStr"/>
    </row>
    <row r="14" ht="16" customHeight="1">
      <c r="A14" s="30" t="n">
        <v>100</v>
      </c>
      <c r="B14" s="58" t="inlineStr">
        <is>
          <t>60~80A</t>
        </is>
      </c>
      <c r="C14" s="58" t="inlineStr">
        <is>
          <t>LS/Chint</t>
        </is>
      </c>
      <c r="D14" s="58" t="inlineStr">
        <is>
          <t>ABN100c</t>
        </is>
      </c>
      <c r="E14" s="58" t="inlineStr">
        <is>
          <t>-</t>
        </is>
      </c>
      <c r="F14" s="57" t="inlineStr"/>
      <c r="G14" s="58" t="inlineStr"/>
    </row>
    <row r="15" ht="16" customHeight="1">
      <c r="A15" s="30" t="n">
        <v>125</v>
      </c>
      <c r="B15" s="62" t="inlineStr">
        <is>
          <t>80~100A</t>
        </is>
      </c>
      <c r="C15" s="62" t="inlineStr">
        <is>
          <t>LS</t>
        </is>
      </c>
      <c r="D15" s="62" t="inlineStr">
        <is>
          <t>ABN125c</t>
        </is>
      </c>
      <c r="E15" s="62" t="inlineStr">
        <is>
          <t>-</t>
        </is>
      </c>
      <c r="F15" s="63" t="inlineStr">
        <is>
          <t>대형 메인</t>
        </is>
      </c>
      <c r="G15" s="62" t="inlineStr"/>
    </row>
    <row r="16" ht="16" customHeight="1">
      <c r="A16" s="30" t="n">
        <v>150</v>
      </c>
      <c r="B16" s="58" t="inlineStr">
        <is>
          <t>100~120A</t>
        </is>
      </c>
      <c r="C16" s="58" t="inlineStr">
        <is>
          <t>LS</t>
        </is>
      </c>
      <c r="D16" s="58" t="inlineStr">
        <is>
          <t>ABN150c</t>
        </is>
      </c>
      <c r="E16" s="58" t="inlineStr">
        <is>
          <t>-</t>
        </is>
      </c>
      <c r="F16" s="57" t="inlineStr"/>
      <c r="G16" s="58" t="inlineStr"/>
    </row>
    <row r="18" ht="14" customHeight="1">
      <c r="A18" s="59" t="inlineStr">
        <is>
          <t>※ 차단기 선정: 설계전류(I_합계×1.25) 초과하는 최소 정격 선택  |  모터부하: 기동전류 고려 (서보는 드라이버가 흡수, 스텝은 정격전류 ≒ 운전전류)</t>
        </is>
      </c>
    </row>
  </sheetData>
  <mergeCells count="2">
    <mergeCell ref="A1:G1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2026-04-03T06:20:52Z</dcterms:created>
  <dcterms:modified xmlns:dcterms="http://purl.org/dc/terms/" xmlns:xsi="http://www.w3.org/2001/XMLSchema-instance" xsi:type="dcterms:W3CDTF">2026-04-03T06:20:52Z</dcterms:modified>
</cp:coreProperties>
</file>